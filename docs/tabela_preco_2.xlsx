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dr-modelagem\docs\"/>
    </mc:Choice>
  </mc:AlternateContent>
  <xr:revisionPtr revIDLastSave="0" documentId="13_ncr:1_{2E3D487D-EF3B-4F98-809E-B85032006DF6}" xr6:coauthVersionLast="47" xr6:coauthVersionMax="47" xr10:uidLastSave="{00000000-0000-0000-0000-000000000000}"/>
  <bookViews>
    <workbookView xWindow="-108" yWindow="-108" windowWidth="23256" windowHeight="12456" xr2:uid="{6C825B25-32E7-4DAE-8751-8B64AF29AD8D}"/>
  </bookViews>
  <sheets>
    <sheet name="Preços Débora" sheetId="4" r:id="rId1"/>
    <sheet name="Preços Vanessa" sheetId="3" r:id="rId2"/>
    <sheet name="Preços Maísa - RS" sheetId="5" r:id="rId3"/>
    <sheet name="ORÇAMENTO" sheetId="9" r:id="rId4"/>
    <sheet name="Prestação de Serviços" sheetId="8" r:id="rId5"/>
  </sheets>
  <definedNames>
    <definedName name="DadosExternos_1" localSheetId="1" hidden="1">'Preços Vanessa'!#REF!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" l="1"/>
  <c r="C27" i="9"/>
  <c r="C28" i="9"/>
  <c r="C29" i="9"/>
  <c r="C30" i="9"/>
  <c r="C31" i="9"/>
  <c r="C32" i="9"/>
  <c r="C33" i="9"/>
  <c r="C25" i="9"/>
  <c r="E25" i="9"/>
  <c r="E26" i="9"/>
  <c r="E27" i="9"/>
  <c r="E28" i="9"/>
  <c r="E29" i="9"/>
  <c r="E30" i="9"/>
  <c r="E31" i="9"/>
  <c r="E32" i="9"/>
  <c r="E33" i="9"/>
  <c r="E12" i="9"/>
  <c r="C21" i="9" s="1"/>
  <c r="E21" i="9" s="1"/>
  <c r="E13" i="9"/>
  <c r="C22" i="9" s="1"/>
  <c r="E22" i="9" s="1"/>
  <c r="E14" i="9"/>
  <c r="C23" i="9" s="1"/>
  <c r="E23" i="9" s="1"/>
  <c r="E15" i="9"/>
  <c r="C24" i="9" s="1"/>
  <c r="E24" i="9" s="1"/>
  <c r="E10" i="9"/>
  <c r="C19" i="9" s="1"/>
  <c r="E19" i="9"/>
  <c r="E8" i="9"/>
  <c r="E9" i="9"/>
  <c r="E11" i="9"/>
  <c r="E7" i="9"/>
  <c r="K25" i="8"/>
  <c r="J25" i="8"/>
  <c r="G25" i="8"/>
  <c r="F25" i="8"/>
  <c r="B25" i="8"/>
  <c r="C9" i="8"/>
  <c r="C8" i="8"/>
  <c r="C25" i="8" s="1"/>
  <c r="D37" i="4"/>
  <c r="D6" i="4"/>
  <c r="D7" i="4"/>
  <c r="D8" i="4"/>
  <c r="D10" i="4"/>
  <c r="D11" i="4"/>
  <c r="D12" i="4"/>
  <c r="D29" i="4"/>
  <c r="D30" i="4"/>
  <c r="D31" i="4"/>
  <c r="D33" i="4"/>
  <c r="D34" i="4"/>
  <c r="D36" i="4"/>
  <c r="D38" i="4"/>
  <c r="C16" i="9" l="1"/>
  <c r="E16" i="9" s="1"/>
  <c r="C20" i="9"/>
  <c r="E20" i="9" s="1"/>
  <c r="C18" i="9"/>
  <c r="E18" i="9" s="1"/>
  <c r="C17" i="9"/>
  <c r="E17" i="9" s="1"/>
  <c r="E35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239DD-2369-4DC7-998C-E0275877A414}" keepAlive="1" name="Consulta - Tabela de preços - 2025 pdf" description="Conexão com a consulta 'Tabela de preços - 2025 pdf' na pasta de trabalho." type="5" refreshedVersion="8" background="1" saveData="1">
    <dbPr connection="Provider=Microsoft.Mashup.OleDb.1;Data Source=$Workbook$;Location=&quot;Tabela de preços - 2025 pdf&quot;;Extended Properties=&quot;&quot;" command="SELECT * FROM [Tabela de preços - 2025 pdf]"/>
  </connection>
</connections>
</file>

<file path=xl/sharedStrings.xml><?xml version="1.0" encoding="utf-8"?>
<sst xmlns="http://schemas.openxmlformats.org/spreadsheetml/2006/main" count="307" uniqueCount="244">
  <si>
    <t xml:space="preserve">Débora da Rosa Estúdio de Modelagem Têxtil. </t>
  </si>
  <si>
    <t>Descrição  do Serviço</t>
  </si>
  <si>
    <t xml:space="preserve">Valor </t>
  </si>
  <si>
    <t>Valor +25%</t>
  </si>
  <si>
    <t>Valor - Vanessa</t>
  </si>
  <si>
    <t>Modelagens e Peça Piloto</t>
  </si>
  <si>
    <t xml:space="preserve">Modelagem com moldes base – por modelo </t>
  </si>
  <si>
    <t>100,00 à 220,00</t>
  </si>
  <si>
    <t>de 120,00 à 260,00</t>
  </si>
  <si>
    <t>94 à 208</t>
  </si>
  <si>
    <t xml:space="preserve">Modelagem básica (camiseta básica - regata) </t>
  </si>
  <si>
    <t>100 à 120,00</t>
  </si>
  <si>
    <t xml:space="preserve">Modelagem intermediária 1 ( t-shirt, cropped básico, bermuda) </t>
  </si>
  <si>
    <t xml:space="preserve">Modelagem intermediária 2 ( blusão moletom básico, calça moletom com bolsos) </t>
  </si>
  <si>
    <t xml:space="preserve">Modelagem elaborada/fashion 1( top, botton) </t>
  </si>
  <si>
    <t>150,00 à 180,00</t>
  </si>
  <si>
    <t>Modelagem elaborada/fashion  2( vestido, macacão)</t>
  </si>
  <si>
    <t>180,00 à 230,00</t>
  </si>
  <si>
    <t xml:space="preserve">Modelagem alfaiataria simples (blazer sem forro, vestidos) </t>
  </si>
  <si>
    <t>200,00 à 250,00</t>
  </si>
  <si>
    <t xml:space="preserve">Modelagem alfaiataria elaborada (modelagens forradas, jaquetas, blazer, vestidos )  </t>
  </si>
  <si>
    <t>250,00 à 350,00</t>
  </si>
  <si>
    <t>Alteração de modelagens – arquivo</t>
  </si>
  <si>
    <t>40,00 até 150,00</t>
  </si>
  <si>
    <t>de 40,00 até 160,00</t>
  </si>
  <si>
    <t>32 à 125</t>
  </si>
  <si>
    <t>Corte e Costura de peça piloto - (matéria prima e aviamentos fornecidos pelo cliente)</t>
  </si>
  <si>
    <t xml:space="preserve">mesmo valor da modelagem </t>
  </si>
  <si>
    <t>Encaixes e plotagens</t>
  </si>
  <si>
    <t xml:space="preserve">Encaixe molde –  tamanho base– por arquivo </t>
  </si>
  <si>
    <t xml:space="preserve">Encaixe produção - 1 TEC – por arquivo </t>
  </si>
  <si>
    <t xml:space="preserve">Encaixe elaborado - 2 TEC – por arquivo </t>
  </si>
  <si>
    <t xml:space="preserve">Encaixe elaborado - 3 TEC  – por arquivo </t>
  </si>
  <si>
    <t xml:space="preserve">Encaixe elaborado - 4 TEC  – por arquivo </t>
  </si>
  <si>
    <t xml:space="preserve">Encaixe com mais de uma referência – acrescentar valor por arquivo </t>
  </si>
  <si>
    <t xml:space="preserve">Geração de consumo </t>
  </si>
  <si>
    <t xml:space="preserve">Plotagem de encaixe com até 91 cm de largura – por metro </t>
  </si>
  <si>
    <t>Demais serviços de modelagens</t>
  </si>
  <si>
    <t xml:space="preserve">Tabelas de medidas - dependendo da modelagem e quantidade de tamanhos </t>
  </si>
  <si>
    <t>60,00 até 150,00</t>
  </si>
  <si>
    <t>de 70,00 até 160,00</t>
  </si>
  <si>
    <t>62 à 125</t>
  </si>
  <si>
    <t xml:space="preserve">Ficha técnica - dependendo da modelagem </t>
  </si>
  <si>
    <t>100,00 até 250,00</t>
  </si>
  <si>
    <t>de 100,00 até 200,00</t>
  </si>
  <si>
    <t>84 à 157</t>
  </si>
  <si>
    <t>Graduação de moldes básicos 25% do valor da base - por tamanho</t>
  </si>
  <si>
    <t>Graduação de moldes complexos (muitos recortes, torções) 30% do valor da base - por tamanho</t>
  </si>
  <si>
    <t>Graduação de moldes básicos por tamanho (molde recebido)</t>
  </si>
  <si>
    <t>Graduação de moldes intermediários por tamanho  (molde recebido)</t>
  </si>
  <si>
    <t>Graduação de moldes elaborados por tamanho  (molde recebido)</t>
  </si>
  <si>
    <t>Digitalização</t>
  </si>
  <si>
    <t>Digitalização de moldes Básico 1 (até 2 partes)</t>
  </si>
  <si>
    <t>30,00 à 36,00</t>
  </si>
  <si>
    <t>Digitalização de moldes Básicos 2 (até 3 partes)</t>
  </si>
  <si>
    <t>Digitalização de moldes Intermediário 1 (de 4 a 8 partes)</t>
  </si>
  <si>
    <t>Digitalização de moldes Intermediário 2  (de 9 a 12 partes)</t>
  </si>
  <si>
    <t>45,00 à 54,00</t>
  </si>
  <si>
    <t>Digitalização de moldes Elaborados  (acima de 13 partes)</t>
  </si>
  <si>
    <t>54,00 à 69,00</t>
  </si>
  <si>
    <t xml:space="preserve">Conversão de arquivos – plt ou pdf – por arquivo </t>
  </si>
  <si>
    <t>60,00 à 75,00</t>
  </si>
  <si>
    <t xml:space="preserve">Conversão de arquivos – de 10 à 30 arquivos – arquivo de modelagem </t>
  </si>
  <si>
    <t>75,00 à 105,00</t>
  </si>
  <si>
    <t>Conversão de arquivos – até 30 arquivos – arquivo de modelagem</t>
  </si>
  <si>
    <t xml:space="preserve">30% do valor de desenvolvimento de modelagem. </t>
  </si>
  <si>
    <t>variável</t>
  </si>
  <si>
    <t>Consultoria</t>
  </si>
  <si>
    <t>Assessoria 1 hora</t>
  </si>
  <si>
    <t>R$ 130,00 / hora</t>
  </si>
  <si>
    <t>* Valores sofrer alteração, de acordo com o nível de complexidade do modelo . Solicitar orçamento prévio.</t>
  </si>
  <si>
    <t xml:space="preserve">Assessoria acima de 10 horas </t>
  </si>
  <si>
    <t>R$ 100,00 / hora</t>
  </si>
  <si>
    <t>Aula Particular</t>
  </si>
  <si>
    <t>R$ 125,00 / hora</t>
  </si>
  <si>
    <t xml:space="preserve">Diária presencial na empresa </t>
  </si>
  <si>
    <t>Km Rodado</t>
  </si>
  <si>
    <t>R$ 1,50 / Km</t>
  </si>
  <si>
    <t>Observações</t>
  </si>
  <si>
    <t xml:space="preserve"> * Valores podem sofrer alteração, de acordo com o nível de complexidade do modelo . Solicitar orçamento prévio.</t>
  </si>
  <si>
    <t xml:space="preserve"> * A contagem do prazo só inicia após a entrega de todo o material (croqui, matéria-prima, especificações) e confirmação do pagamento.</t>
  </si>
  <si>
    <t xml:space="preserve"> * Peça Piloto é obrigatória para o teste de modelagem e pode ser executada pela empresa contratante.</t>
  </si>
  <si>
    <t xml:space="preserve"> * Deslocamento, além do valor por Km, o tempo de deslocamento em horário comercial é cobrado a 40% do valor da hora de trabalho.</t>
  </si>
  <si>
    <t xml:space="preserve"> * Custos Extras: Alimentação, estadia e outros custos adicionais para execução do serviço são de responsabilidade do contratante. </t>
  </si>
  <si>
    <t>TABELA DE PREÇOS - Vanessa</t>
  </si>
  <si>
    <t>Digitalização - Vanessa</t>
  </si>
  <si>
    <t>Descrição do Serviço:</t>
  </si>
  <si>
    <t>Descrição</t>
  </si>
  <si>
    <t>Valor</t>
  </si>
  <si>
    <t xml:space="preserve">Calcinha cós aplicado </t>
  </si>
  <si>
    <t xml:space="preserve">Encaixe básico – com um tamanho – por arquivo </t>
  </si>
  <si>
    <t xml:space="preserve">Calcinha cós renda </t>
  </si>
  <si>
    <t xml:space="preserve">Encaixe elaborado - TEC1 + ribana – por arquivo </t>
  </si>
  <si>
    <t xml:space="preserve">Top amarração costas </t>
  </si>
  <si>
    <t xml:space="preserve">Encaixe elaborado - TEC1 + TEC 2 – por arquivo </t>
  </si>
  <si>
    <t xml:space="preserve">Calcinha gloria </t>
  </si>
  <si>
    <t xml:space="preserve">Encaixe de jeans com sobreposição – por arquivo </t>
  </si>
  <si>
    <t xml:space="preserve">Biquini gloria </t>
  </si>
  <si>
    <t xml:space="preserve">Encaixe com margem de corte – por arquivo </t>
  </si>
  <si>
    <t xml:space="preserve">Calcinha asa delta </t>
  </si>
  <si>
    <t xml:space="preserve">Encaixe com mais de uma referência – por arquivo </t>
  </si>
  <si>
    <t xml:space="preserve">Cueca </t>
  </si>
  <si>
    <t xml:space="preserve">Encaixe – somente o arquivo – sem plotagem </t>
  </si>
  <si>
    <t xml:space="preserve">Biquini verde água thaís </t>
  </si>
  <si>
    <t xml:space="preserve">Calcinha básica fio duplo </t>
  </si>
  <si>
    <t xml:space="preserve">Top cortininha </t>
  </si>
  <si>
    <t xml:space="preserve">Plotagem de encaixe de 1,26 m a 1,80 m de largura – por metro </t>
  </si>
  <si>
    <t>Miaô Asa Delta (Isa)</t>
  </si>
  <si>
    <t xml:space="preserve">Plotagem papel kraft - 140 gramatura – papel mais grosso – por metro </t>
  </si>
  <si>
    <t xml:space="preserve">Top ? (Um molde só) </t>
  </si>
  <si>
    <t>Modelagens</t>
  </si>
  <si>
    <t xml:space="preserve">Total </t>
  </si>
  <si>
    <t xml:space="preserve">Modelagem com moldes base – por arquivo </t>
  </si>
  <si>
    <t>94 a 208</t>
  </si>
  <si>
    <t xml:space="preserve">Modelagem básica (exemplo - regata) – arquivo com 4 tamanhos </t>
  </si>
  <si>
    <t xml:space="preserve">Modelagem intermediária ( camiseta básica, cropped básico) - 4 tamanhos </t>
  </si>
  <si>
    <t xml:space="preserve">Modelagem intermediária + ( blusão moletom básico, camiseta over) - 4 tamanhos </t>
  </si>
  <si>
    <t xml:space="preserve">Modelagem fashion ( moletons (calça, bermuda, blusão canguru) - 4 tamanhos </t>
  </si>
  <si>
    <t xml:space="preserve">Modelagem elaborada (corta vento, body) - 4 tamanhos </t>
  </si>
  <si>
    <t xml:space="preserve">Modelagem elaborada + ( bermuda jeans, calça jeans, peças de alfaiataria ) </t>
  </si>
  <si>
    <t xml:space="preserve">R$ 229,00
</t>
  </si>
  <si>
    <t xml:space="preserve">Modelagem elaborada++ (blazer, vestidos)   4 tamanhos </t>
  </si>
  <si>
    <t xml:space="preserve">Modelagem elaborada+++(modelagens forradas, jaquetas, blazer, vestidos tec.plano) 4 tamh </t>
  </si>
  <si>
    <t xml:space="preserve">Alteração de modelagens – arquivo </t>
  </si>
  <si>
    <t>32 a 125</t>
  </si>
  <si>
    <t>62 a 125</t>
  </si>
  <si>
    <t>84 a 157</t>
  </si>
  <si>
    <t xml:space="preserve">Graduação de moldes básicos por tamanho </t>
  </si>
  <si>
    <t xml:space="preserve">Graduação de moldes intermediários por tamanho </t>
  </si>
  <si>
    <t xml:space="preserve">Graduação de moldes elaborados por tamanho </t>
  </si>
  <si>
    <t xml:space="preserve">Digitalização de moldes básicos </t>
  </si>
  <si>
    <t xml:space="preserve">Digitalização de moldes intermediários </t>
  </si>
  <si>
    <t xml:space="preserve">Digitalização de moldes elaborados </t>
  </si>
  <si>
    <t xml:space="preserve">Conversão de arquivos – até 10 arquivos – arquivo de modelagem </t>
  </si>
  <si>
    <t xml:space="preserve">Conversão de arquivos – até 30 arquivos – arquivo de modelagem </t>
  </si>
  <si>
    <t>Obs : os valores de digitalização e graduação podem sofrer alteração, de acordo com a</t>
  </si>
  <si>
    <t/>
  </si>
  <si>
    <t>complexidade e número de moldes que compõe o arquivo . Solicitar orçamento prévio .</t>
  </si>
  <si>
    <t xml:space="preserve">eços </t>
  </si>
  <si>
    <t>Componentes</t>
  </si>
  <si>
    <t>Serviço</t>
  </si>
  <si>
    <t>Valor Unitário (R$)</t>
  </si>
  <si>
    <t>Até 3</t>
  </si>
  <si>
    <t>Modelagem Pilota</t>
  </si>
  <si>
    <t>Grade Digital (GEMX/PDF/etc)</t>
  </si>
  <si>
    <t>Grade Plotada</t>
  </si>
  <si>
    <t>De 4 a 8</t>
  </si>
  <si>
    <t>De 9 a 14</t>
  </si>
  <si>
    <t>Mais que 15</t>
  </si>
  <si>
    <t>Item / Quantidade</t>
  </si>
  <si>
    <t>Prazo de Entrega (dias úteis)</t>
  </si>
  <si>
    <t>Informações Importantes:</t>
  </si>
  <si>
    <t>Até 10 modelos</t>
  </si>
  <si>
    <t xml:space="preserve">  Definição de Componentes: Refere-se à quantidade de moldes de uma peça (Ex: uma camiseta tem 4 componentes: frente, costas, manga e decote).</t>
  </si>
  <si>
    <t>Até 25 modelos</t>
  </si>
  <si>
    <t>Até 40 modelos</t>
  </si>
  <si>
    <t xml:space="preserve">  Peça Piloto: É obrigatória para teste. Pode ser feita pela empresa contratante, que deve reportar os ajustes necessários.</t>
  </si>
  <si>
    <t>Mais que 40 modelos</t>
  </si>
  <si>
    <t>A combinar</t>
  </si>
  <si>
    <t>Alteração de modelagem</t>
  </si>
  <si>
    <t xml:space="preserve">  Início do Trabalho: O prazo só começa a contar após o recebimento de todas informações, material e confirmação de 50% do pagamento.</t>
  </si>
  <si>
    <t>Alteração de pilotagem</t>
  </si>
  <si>
    <t>Especificação</t>
  </si>
  <si>
    <t>Assessoria</t>
  </si>
  <si>
    <t>Até 20 horas contratadas</t>
  </si>
  <si>
    <t>R$ 290,00 / hora</t>
  </si>
  <si>
    <t>De 20h a 30 horas</t>
  </si>
  <si>
    <t>R$ 240,00 / hora</t>
  </si>
  <si>
    <t>Mais que 30 horas</t>
  </si>
  <si>
    <t>R$ 190,00 / hora</t>
  </si>
  <si>
    <t>Mentoria</t>
  </si>
  <si>
    <t>Valor por hora (mín. 1h)</t>
  </si>
  <si>
    <t>R$ 860,00 / hora</t>
  </si>
  <si>
    <t>Plotagem Recortada</t>
  </si>
  <si>
    <t>Papel Pardo Kraft 130g</t>
  </si>
  <si>
    <t>R$ 15,00 / Metro Linear</t>
  </si>
  <si>
    <t>Plotagem Impressa</t>
  </si>
  <si>
    <t>Papel Branco ou Pardo 80g</t>
  </si>
  <si>
    <t>R$ 7,50 / Metro Linear</t>
  </si>
  <si>
    <t>Deslocamento</t>
  </si>
  <si>
    <t>R$ 1.50 / Km</t>
  </si>
  <si>
    <t>Observações Importantes Adicionais:</t>
  </si>
  <si>
    <r>
      <t>Início do Serviço:</t>
    </r>
    <r>
      <rPr>
        <sz val="10"/>
        <color theme="1"/>
        <rFont val="Microsoft YaHei"/>
      </rPr>
      <t xml:space="preserve"> A contagem do prazo só começa após a entrega de todo o material (desenho, matéria-prima, especificações) e confirmação do pagamento.</t>
    </r>
  </si>
  <si>
    <r>
      <t>Peça Piloto:</t>
    </r>
    <r>
      <rPr>
        <sz val="10"/>
        <color theme="1"/>
        <rFont val="Microsoft YaHei"/>
      </rPr>
      <t xml:space="preserve"> É obrigatória para o teste de modelagem e pode ser executada pela empresa contratante.</t>
    </r>
  </si>
  <si>
    <r>
      <t>Deslocamento:</t>
    </r>
    <r>
      <rPr>
        <sz val="10"/>
        <color theme="1"/>
        <rFont val="Microsoft YaHei"/>
      </rPr>
      <t xml:space="preserve"> Além do valor por Km, o tempo de deslocamento em horário comercial é cobrado a 40% do valor da hora de trabalho.</t>
    </r>
  </si>
  <si>
    <r>
      <t>Custos Extras:</t>
    </r>
    <r>
      <rPr>
        <sz val="10"/>
        <color theme="1"/>
        <rFont val="Microsoft YaHei"/>
      </rPr>
      <t xml:space="preserve"> Alimentação, estadia e outros custos adicionais para execução do serviço são de responsabilidade do contratante.</t>
    </r>
  </si>
  <si>
    <t>ORÇAMENTO</t>
  </si>
  <si>
    <t>Prestador: Debora da Rosa</t>
  </si>
  <si>
    <t>CNPJ: 49.647.364/0001-57</t>
  </si>
  <si>
    <t>CLIENTE: Cei Menino Jesus</t>
  </si>
  <si>
    <t xml:space="preserve">  MODELAGEM   (     ) </t>
  </si>
  <si>
    <t xml:space="preserve">GRADAÇÃO   (     ) </t>
  </si>
  <si>
    <t xml:space="preserve">PLOTAGEM   (     ) </t>
  </si>
  <si>
    <t xml:space="preserve">PILOTO (     ) </t>
  </si>
  <si>
    <t>Valor Unitário</t>
  </si>
  <si>
    <t>Quantidade</t>
  </si>
  <si>
    <t>Valor Total</t>
  </si>
  <si>
    <t xml:space="preserve">Molde Jaqueta </t>
  </si>
  <si>
    <t>Molde Camiseta Polo M.L.</t>
  </si>
  <si>
    <t>Molde Camiseta sem Manga</t>
  </si>
  <si>
    <t xml:space="preserve">Molde Jaqueta Canguru </t>
  </si>
  <si>
    <t xml:space="preserve">Molde Blusão Careca </t>
  </si>
  <si>
    <t>Molde Short Saia</t>
  </si>
  <si>
    <t>Molde Legging</t>
  </si>
  <si>
    <t>Molde Bermuda Menino</t>
  </si>
  <si>
    <t>Molde Calça Menino</t>
  </si>
  <si>
    <t xml:space="preserve">Graduação Jaqueta </t>
  </si>
  <si>
    <t>Grad.Camiseta Polo M.L.</t>
  </si>
  <si>
    <t>Grad. Camiseta sem Manga</t>
  </si>
  <si>
    <t xml:space="preserve">Grad. Jaqueta Canguru </t>
  </si>
  <si>
    <t xml:space="preserve">Grad. Blusão Careca </t>
  </si>
  <si>
    <t>Grad. Short Saia</t>
  </si>
  <si>
    <t>Grad. Legging</t>
  </si>
  <si>
    <t>Grad. Bermuda Menino</t>
  </si>
  <si>
    <t>Grad. Calça Menino</t>
  </si>
  <si>
    <t xml:space="preserve">Piloto Jaqueta </t>
  </si>
  <si>
    <t>Piloto Camiseta Polo M.L.</t>
  </si>
  <si>
    <t>Piloto Camiseta sem Mng</t>
  </si>
  <si>
    <t xml:space="preserve">Piloto Jaqueta Canguru </t>
  </si>
  <si>
    <t xml:space="preserve">Piloto Blusão Careca </t>
  </si>
  <si>
    <t>Piloto Short Saia</t>
  </si>
  <si>
    <t>Piloto Legging</t>
  </si>
  <si>
    <t>Piloto Bermuda Menino</t>
  </si>
  <si>
    <t>Piloto Calça Menino</t>
  </si>
  <si>
    <t xml:space="preserve">TOTAL </t>
  </si>
  <si>
    <t>Prestação de Serviços</t>
  </si>
  <si>
    <t>SERVIÇO:</t>
  </si>
  <si>
    <t>Plotagem Metro</t>
  </si>
  <si>
    <t>CLIENTE:</t>
  </si>
  <si>
    <t>Mayra</t>
  </si>
  <si>
    <t>Chão de Jardim</t>
  </si>
  <si>
    <t>Cei Menino Jesus</t>
  </si>
  <si>
    <t>CNPJ / CPF:</t>
  </si>
  <si>
    <t xml:space="preserve">Ref. </t>
  </si>
  <si>
    <t>Unidade/Metragem</t>
  </si>
  <si>
    <t>Total</t>
  </si>
  <si>
    <t>ARD 188</t>
  </si>
  <si>
    <t>Modelagem</t>
  </si>
  <si>
    <t xml:space="preserve">ARD </t>
  </si>
  <si>
    <t xml:space="preserve">Plotagem </t>
  </si>
  <si>
    <t>Graduação</t>
  </si>
  <si>
    <t>Uber - mototaxi</t>
  </si>
  <si>
    <t>Geração de consumo</t>
  </si>
  <si>
    <t xml:space="preserve">Piloto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</si>
</sst>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4" formatCode="&quot;R$&quot;\ #,##0.0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Microsoft YaHei"/>
    </font>
    <font>
      <sz val="11"/>
      <color theme="1"/>
      <name val="Microsoft YaHei"/>
    </font>
    <font>
      <sz val="11"/>
      <color rgb="FF242424"/>
      <name val="Microsoft YaHei"/>
    </font>
    <font>
      <b/>
      <sz val="12"/>
      <color rgb="FF1F1F1F"/>
      <name val="Microsoft YaHei"/>
    </font>
    <font>
      <b/>
      <sz val="11"/>
      <color rgb="FF1F1F1F"/>
      <name val="Microsoft YaHei"/>
    </font>
    <font>
      <sz val="11"/>
      <color rgb="FF1F1F1F"/>
      <name val="Microsoft YaHei"/>
    </font>
    <font>
      <sz val="9"/>
      <color rgb="FF242424"/>
      <name val="Microsoft YaHei"/>
    </font>
    <font>
      <sz val="10"/>
      <color theme="1"/>
      <name val="Microsoft YaHei"/>
    </font>
    <font>
      <b/>
      <sz val="11"/>
      <color rgb="FF000000"/>
      <name val="Microsoft YaHei"/>
    </font>
    <font>
      <b/>
      <sz val="13.5"/>
      <color theme="1"/>
      <name val="Microsoft YaHei"/>
    </font>
    <font>
      <b/>
      <sz val="10"/>
      <color theme="1"/>
      <name val="Microsoft YaHei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theme="1"/>
      <name val="Microsoft YaHei"/>
    </font>
    <font>
      <b/>
      <sz val="12"/>
      <color theme="1"/>
      <name val="Microsoft YaHei"/>
    </font>
    <font>
      <sz val="10"/>
      <color rgb="FF000000"/>
      <name val="Microsoft YaHei"/>
    </font>
    <font>
      <b/>
      <sz val="24"/>
      <color theme="1"/>
      <name val="Microsoft YaHei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2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1"/>
      <color theme="1" tint="0.14999847407452621"/>
      <name val="Aptos Narrow"/>
      <charset val="1"/>
    </font>
    <font>
      <b/>
      <sz val="3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/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/>
      <top style="thin">
        <color rgb="FF1F1F1F"/>
      </top>
      <bottom style="thin">
        <color rgb="FF1F1F1F"/>
      </bottom>
      <diagonal/>
    </border>
    <border>
      <left style="medium">
        <color rgb="FF000000"/>
      </left>
      <right/>
      <top style="thin">
        <color rgb="FF1F1F1F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1F1F1F"/>
      </bottom>
      <diagonal/>
    </border>
    <border>
      <left style="medium">
        <color rgb="FF000000"/>
      </left>
      <right/>
      <top/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/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 style="thin">
        <color rgb="FF1F1F1F"/>
      </right>
      <top/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thin">
        <color rgb="FF1F1F1F"/>
      </top>
      <bottom/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/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medium">
        <color rgb="FF000000"/>
      </top>
      <bottom/>
      <diagonal/>
    </border>
    <border>
      <left/>
      <right style="thin">
        <color rgb="FF1F1F1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2" fontId="3" fillId="0" borderId="19" xfId="0" applyNumberFormat="1" applyFont="1" applyBorder="1" applyAlignment="1">
      <alignment horizontal="center"/>
    </xf>
    <xf numFmtId="0" fontId="4" fillId="0" borderId="0" xfId="0" applyFont="1"/>
    <xf numFmtId="0" fontId="3" fillId="0" borderId="19" xfId="0" applyFont="1" applyBorder="1" applyAlignment="1">
      <alignment horizontal="center"/>
    </xf>
    <xf numFmtId="4" fontId="4" fillId="0" borderId="17" xfId="0" applyNumberFormat="1" applyFont="1" applyBorder="1"/>
    <xf numFmtId="4" fontId="4" fillId="0" borderId="18" xfId="0" applyNumberFormat="1" applyFont="1" applyBorder="1"/>
    <xf numFmtId="0" fontId="6" fillId="0" borderId="36" xfId="0" applyFont="1" applyBorder="1" applyAlignment="1">
      <alignment horizontal="center" readingOrder="1"/>
    </xf>
    <xf numFmtId="0" fontId="6" fillId="0" borderId="21" xfId="0" applyFont="1" applyBorder="1" applyAlignment="1">
      <alignment horizontal="center" readingOrder="1"/>
    </xf>
    <xf numFmtId="0" fontId="6" fillId="0" borderId="23" xfId="0" applyFont="1" applyBorder="1" applyAlignment="1">
      <alignment horizontal="center" readingOrder="1"/>
    </xf>
    <xf numFmtId="0" fontId="7" fillId="0" borderId="22" xfId="0" applyFont="1" applyBorder="1" applyAlignment="1">
      <alignment readingOrder="1"/>
    </xf>
    <xf numFmtId="0" fontId="8" fillId="0" borderId="20" xfId="0" applyFont="1" applyBorder="1" applyAlignment="1">
      <alignment readingOrder="1"/>
    </xf>
    <xf numFmtId="0" fontId="8" fillId="0" borderId="34" xfId="0" applyFont="1" applyBorder="1" applyAlignment="1">
      <alignment horizontal="center" readingOrder="1"/>
    </xf>
    <xf numFmtId="0" fontId="7" fillId="0" borderId="24" xfId="0" applyFont="1" applyBorder="1" applyAlignment="1">
      <alignment readingOrder="1"/>
    </xf>
    <xf numFmtId="0" fontId="8" fillId="0" borderId="25" xfId="0" applyFont="1" applyBorder="1" applyAlignment="1">
      <alignment readingOrder="1"/>
    </xf>
    <xf numFmtId="0" fontId="8" fillId="0" borderId="35" xfId="0" applyFont="1" applyBorder="1" applyAlignment="1">
      <alignment horizontal="center" readingOrder="1"/>
    </xf>
    <xf numFmtId="0" fontId="7" fillId="0" borderId="15" xfId="0" applyFont="1" applyBorder="1" applyAlignment="1">
      <alignment horizontal="center" readingOrder="1"/>
    </xf>
    <xf numFmtId="0" fontId="7" fillId="0" borderId="16" xfId="0" applyFont="1" applyBorder="1" applyAlignment="1">
      <alignment horizontal="center" readingOrder="1"/>
    </xf>
    <xf numFmtId="0" fontId="7" fillId="0" borderId="18" xfId="0" applyFont="1" applyBorder="1" applyAlignment="1">
      <alignment horizontal="center" readingOrder="1"/>
    </xf>
    <xf numFmtId="0" fontId="8" fillId="0" borderId="32" xfId="0" applyFont="1" applyBorder="1" applyAlignment="1">
      <alignment readingOrder="1"/>
    </xf>
    <xf numFmtId="0" fontId="8" fillId="0" borderId="33" xfId="0" applyFont="1" applyBorder="1" applyAlignment="1">
      <alignment horizontal="left" indent="2" readingOrder="1"/>
    </xf>
    <xf numFmtId="0" fontId="8" fillId="0" borderId="29" xfId="0" applyFont="1" applyBorder="1" applyAlignment="1">
      <alignment readingOrder="1"/>
    </xf>
    <xf numFmtId="0" fontId="8" fillId="0" borderId="27" xfId="0" applyFont="1" applyBorder="1" applyAlignment="1">
      <alignment horizontal="left" indent="2" readingOrder="1"/>
    </xf>
    <xf numFmtId="0" fontId="8" fillId="0" borderId="30" xfId="0" applyFont="1" applyBorder="1" applyAlignment="1">
      <alignment readingOrder="1"/>
    </xf>
    <xf numFmtId="0" fontId="8" fillId="0" borderId="28" xfId="0" applyFont="1" applyBorder="1" applyAlignment="1">
      <alignment horizontal="left" indent="2" readingOrder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0" borderId="38" xfId="0" applyFont="1" applyBorder="1" applyAlignment="1">
      <alignment horizontal="center" readingOrder="1"/>
    </xf>
    <xf numFmtId="0" fontId="7" fillId="0" borderId="39" xfId="0" applyFont="1" applyBorder="1" applyAlignment="1">
      <alignment horizontal="center" readingOrder="1"/>
    </xf>
    <xf numFmtId="0" fontId="8" fillId="0" borderId="26" xfId="0" applyFont="1" applyBorder="1" applyAlignment="1">
      <alignment horizontal="center" readingOrder="1"/>
    </xf>
    <xf numFmtId="0" fontId="8" fillId="0" borderId="27" xfId="0" applyFont="1" applyBorder="1" applyAlignment="1">
      <alignment horizontal="center" readingOrder="1"/>
    </xf>
    <xf numFmtId="0" fontId="8" fillId="0" borderId="28" xfId="0" applyFont="1" applyBorder="1" applyAlignment="1">
      <alignment horizontal="center" readingOrder="1"/>
    </xf>
    <xf numFmtId="0" fontId="7" fillId="0" borderId="32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8" fillId="0" borderId="31" xfId="0" applyFont="1" applyBorder="1" applyAlignment="1">
      <alignment horizontal="center" readingOrder="1"/>
    </xf>
    <xf numFmtId="0" fontId="8" fillId="0" borderId="40" xfId="0" applyFont="1" applyBorder="1" applyAlignment="1">
      <alignment horizontal="center" readingOrder="1"/>
    </xf>
    <xf numFmtId="0" fontId="8" fillId="0" borderId="41" xfId="0" applyFont="1" applyBorder="1" applyAlignment="1">
      <alignment horizontal="center" readingOrder="1"/>
    </xf>
    <xf numFmtId="0" fontId="7" fillId="0" borderId="42" xfId="0" applyFont="1" applyBorder="1" applyAlignment="1">
      <alignment horizontal="center" readingOrder="1"/>
    </xf>
    <xf numFmtId="8" fontId="0" fillId="0" borderId="12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6" fontId="0" fillId="0" borderId="12" xfId="0" applyNumberFormat="1" applyBorder="1" applyAlignment="1">
      <alignment horizontal="center"/>
    </xf>
    <xf numFmtId="8" fontId="0" fillId="0" borderId="13" xfId="0" applyNumberFormat="1" applyBorder="1" applyAlignment="1">
      <alignment horizontal="center"/>
    </xf>
    <xf numFmtId="8" fontId="0" fillId="0" borderId="14" xfId="0" applyNumberFormat="1" applyBorder="1" applyAlignment="1">
      <alignment horizontal="center"/>
    </xf>
    <xf numFmtId="8" fontId="0" fillId="0" borderId="45" xfId="0" applyNumberFormat="1" applyBorder="1" applyAlignment="1">
      <alignment horizontal="center"/>
    </xf>
    <xf numFmtId="0" fontId="0" fillId="0" borderId="47" xfId="0" applyBorder="1"/>
    <xf numFmtId="4" fontId="0" fillId="0" borderId="14" xfId="0" applyNumberFormat="1" applyBorder="1" applyAlignment="1">
      <alignment horizontal="center"/>
    </xf>
    <xf numFmtId="0" fontId="2" fillId="0" borderId="44" xfId="0" applyFont="1" applyBorder="1" applyAlignment="1">
      <alignment horizontal="left" indent="4"/>
    </xf>
    <xf numFmtId="0" fontId="2" fillId="0" borderId="19" xfId="0" applyFont="1" applyBorder="1" applyAlignment="1">
      <alignment horizontal="center"/>
    </xf>
    <xf numFmtId="0" fontId="0" fillId="0" borderId="12" xfId="0" applyBorder="1"/>
    <xf numFmtId="0" fontId="0" fillId="0" borderId="11" xfId="0" applyBorder="1"/>
    <xf numFmtId="8" fontId="0" fillId="0" borderId="48" xfId="0" applyNumberFormat="1" applyBorder="1"/>
    <xf numFmtId="8" fontId="0" fillId="0" borderId="46" xfId="0" applyNumberFormat="1" applyBorder="1"/>
    <xf numFmtId="0" fontId="1" fillId="0" borderId="19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8" fontId="1" fillId="0" borderId="18" xfId="0" applyNumberFormat="1" applyFont="1" applyBorder="1" applyAlignment="1">
      <alignment horizontal="center"/>
    </xf>
    <xf numFmtId="0" fontId="0" fillId="0" borderId="13" xfId="0" applyBorder="1"/>
    <xf numFmtId="8" fontId="0" fillId="0" borderId="50" xfId="0" applyNumberFormat="1" applyBorder="1"/>
    <xf numFmtId="0" fontId="14" fillId="0" borderId="16" xfId="0" applyFont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164" fontId="4" fillId="0" borderId="5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" fontId="4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8" fontId="4" fillId="0" borderId="8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6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vertical="center"/>
    </xf>
    <xf numFmtId="4" fontId="4" fillId="0" borderId="18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8" fontId="4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3" fillId="2" borderId="15" xfId="0" applyFont="1" applyFill="1" applyBorder="1" applyAlignment="1">
      <alignment horizontal="left" indent="3"/>
    </xf>
    <xf numFmtId="0" fontId="18" fillId="0" borderId="0" xfId="0" applyFont="1"/>
    <xf numFmtId="8" fontId="4" fillId="0" borderId="6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 indent="1"/>
    </xf>
    <xf numFmtId="0" fontId="4" fillId="0" borderId="53" xfId="0" applyFont="1" applyBorder="1" applyAlignment="1">
      <alignment horizontal="left" vertical="center" indent="1"/>
    </xf>
    <xf numFmtId="0" fontId="5" fillId="0" borderId="53" xfId="0" applyFont="1" applyBorder="1" applyAlignment="1">
      <alignment horizontal="left" vertical="center" indent="1"/>
    </xf>
    <xf numFmtId="2" fontId="4" fillId="0" borderId="0" xfId="0" applyNumberFormat="1" applyFont="1" applyAlignment="1">
      <alignment horizontal="center" vertical="center"/>
    </xf>
    <xf numFmtId="8" fontId="4" fillId="0" borderId="54" xfId="0" applyNumberFormat="1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indent="1"/>
    </xf>
    <xf numFmtId="0" fontId="4" fillId="0" borderId="7" xfId="0" applyFont="1" applyBorder="1" applyAlignment="1">
      <alignment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164" fontId="4" fillId="0" borderId="57" xfId="0" applyNumberFormat="1" applyFont="1" applyBorder="1" applyAlignment="1">
      <alignment horizontal="center" vertical="center"/>
    </xf>
    <xf numFmtId="164" fontId="4" fillId="0" borderId="58" xfId="0" applyNumberFormat="1" applyFont="1" applyBorder="1" applyAlignment="1">
      <alignment horizontal="center" vertical="center"/>
    </xf>
    <xf numFmtId="0" fontId="4" fillId="0" borderId="60" xfId="0" applyFont="1" applyBorder="1" applyAlignment="1">
      <alignment vertical="center" indent="1"/>
    </xf>
    <xf numFmtId="0" fontId="4" fillId="0" borderId="61" xfId="0" applyFont="1" applyBorder="1" applyAlignment="1">
      <alignment horizontal="left" vertical="center" indent="1"/>
    </xf>
    <xf numFmtId="0" fontId="4" fillId="0" borderId="62" xfId="0" applyFont="1" applyBorder="1" applyAlignment="1">
      <alignment horizontal="left" vertical="center" indent="1"/>
    </xf>
    <xf numFmtId="0" fontId="0" fillId="0" borderId="44" xfId="0" applyBorder="1"/>
    <xf numFmtId="0" fontId="21" fillId="0" borderId="63" xfId="0" applyFont="1" applyBorder="1" applyAlignment="1">
      <alignment horizontal="left"/>
    </xf>
    <xf numFmtId="8" fontId="0" fillId="0" borderId="64" xfId="0" applyNumberFormat="1" applyBorder="1"/>
    <xf numFmtId="0" fontId="0" fillId="0" borderId="15" xfId="0" applyBorder="1"/>
    <xf numFmtId="0" fontId="0" fillId="0" borderId="60" xfId="0" applyBorder="1"/>
    <xf numFmtId="0" fontId="0" fillId="0" borderId="0" xfId="0" applyAlignment="1">
      <alignment wrapText="1"/>
    </xf>
    <xf numFmtId="0" fontId="14" fillId="0" borderId="44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0" borderId="19" xfId="0" applyBorder="1"/>
    <xf numFmtId="0" fontId="0" fillId="0" borderId="54" xfId="0" applyBorder="1"/>
    <xf numFmtId="8" fontId="0" fillId="0" borderId="54" xfId="0" applyNumberFormat="1" applyBorder="1"/>
    <xf numFmtId="0" fontId="0" fillId="0" borderId="64" xfId="0" applyBorder="1"/>
    <xf numFmtId="0" fontId="0" fillId="0" borderId="66" xfId="0" applyBorder="1"/>
    <xf numFmtId="1" fontId="0" fillId="0" borderId="54" xfId="0" applyNumberFormat="1" applyBorder="1"/>
    <xf numFmtId="0" fontId="20" fillId="0" borderId="66" xfId="0" applyFont="1" applyBorder="1" applyAlignment="1">
      <alignment wrapText="1"/>
    </xf>
    <xf numFmtId="0" fontId="0" fillId="0" borderId="7" xfId="0" applyBorder="1"/>
    <xf numFmtId="0" fontId="0" fillId="0" borderId="55" xfId="0" applyBorder="1"/>
    <xf numFmtId="0" fontId="14" fillId="0" borderId="15" xfId="0" applyFont="1" applyBorder="1"/>
    <xf numFmtId="0" fontId="14" fillId="0" borderId="16" xfId="0" applyFont="1" applyBorder="1"/>
    <xf numFmtId="8" fontId="14" fillId="0" borderId="18" xfId="0" applyNumberFormat="1" applyFont="1" applyBorder="1"/>
    <xf numFmtId="0" fontId="0" fillId="0" borderId="5" xfId="0" applyBorder="1"/>
    <xf numFmtId="8" fontId="0" fillId="0" borderId="66" xfId="0" applyNumberFormat="1" applyBorder="1"/>
    <xf numFmtId="1" fontId="0" fillId="0" borderId="0" xfId="0" applyNumberFormat="1" applyAlignment="1">
      <alignment horizontal="center"/>
    </xf>
    <xf numFmtId="0" fontId="0" fillId="0" borderId="66" xfId="0" applyBorder="1" applyAlignment="1">
      <alignment horizontal="left"/>
    </xf>
    <xf numFmtId="0" fontId="0" fillId="0" borderId="7" xfId="0" applyBorder="1" applyAlignment="1">
      <alignment horizontal="center"/>
    </xf>
    <xf numFmtId="0" fontId="22" fillId="0" borderId="15" xfId="0" applyFont="1" applyBorder="1" applyAlignment="1">
      <alignment vertical="center" indent="17"/>
    </xf>
    <xf numFmtId="9" fontId="0" fillId="0" borderId="0" xfId="0" applyNumberFormat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17" xfId="0" applyFont="1" applyBorder="1" applyAlignment="1">
      <alignment horizontal="center" wrapText="1"/>
    </xf>
    <xf numFmtId="0" fontId="23" fillId="0" borderId="18" xfId="0" applyFont="1" applyBorder="1" applyAlignment="1">
      <alignment horizontal="center" indent="1"/>
    </xf>
    <xf numFmtId="0" fontId="2" fillId="0" borderId="15" xfId="0" applyFont="1" applyBorder="1" applyAlignment="1">
      <alignment horizontal="center" vertical="center" indent="1"/>
    </xf>
    <xf numFmtId="0" fontId="2" fillId="0" borderId="16" xfId="0" applyFont="1" applyBorder="1" applyAlignment="1">
      <alignment horizontal="center" vertical="center" indent="1"/>
    </xf>
    <xf numFmtId="0" fontId="2" fillId="0" borderId="18" xfId="0" applyFont="1" applyBorder="1" applyAlignment="1">
      <alignment horizontal="center" vertical="center" indent="1"/>
    </xf>
    <xf numFmtId="0" fontId="0" fillId="0" borderId="60" xfId="0" applyBorder="1" applyAlignment="1">
      <alignment horizontal="center"/>
    </xf>
    <xf numFmtId="0" fontId="0" fillId="0" borderId="16" xfId="0" applyBorder="1"/>
    <xf numFmtId="8" fontId="24" fillId="0" borderId="54" xfId="0" applyNumberFormat="1" applyFont="1" applyBorder="1"/>
    <xf numFmtId="0" fontId="24" fillId="0" borderId="55" xfId="0" applyFont="1" applyBorder="1"/>
    <xf numFmtId="8" fontId="24" fillId="3" borderId="18" xfId="0" applyNumberFormat="1" applyFont="1" applyFill="1" applyBorder="1"/>
    <xf numFmtId="0" fontId="17" fillId="0" borderId="0" xfId="0" applyFont="1" applyAlignment="1">
      <alignment horizontal="center" vertical="center" indent="1"/>
    </xf>
    <xf numFmtId="0" fontId="20" fillId="0" borderId="59" xfId="0" applyFont="1" applyBorder="1" applyAlignment="1">
      <alignment horizontal="center" vertical="center" indent="1"/>
    </xf>
    <xf numFmtId="0" fontId="4" fillId="0" borderId="56" xfId="0" applyFont="1" applyBorder="1" applyAlignment="1">
      <alignment horizontal="center" vertical="center" indent="1"/>
    </xf>
    <xf numFmtId="0" fontId="17" fillId="0" borderId="0" xfId="0" applyFont="1" applyAlignment="1">
      <alignment horizontal="center" vertical="center" indent="1"/>
    </xf>
    <xf numFmtId="0" fontId="19" fillId="0" borderId="15" xfId="0" applyFont="1" applyBorder="1" applyAlignment="1">
      <alignment horizontal="right" vertical="center" indent="4"/>
    </xf>
    <xf numFmtId="0" fontId="19" fillId="0" borderId="18" xfId="0" applyFont="1" applyBorder="1" applyAlignment="1">
      <alignment horizontal="right" vertical="center" indent="4"/>
    </xf>
    <xf numFmtId="0" fontId="17" fillId="0" borderId="0" xfId="0" applyFont="1" applyAlignment="1">
      <alignment horizontal="center" indent="1"/>
    </xf>
    <xf numFmtId="0" fontId="16" fillId="0" borderId="0" xfId="0" applyFont="1" applyAlignment="1">
      <alignment horizontal="center" vertical="center"/>
    </xf>
    <xf numFmtId="0" fontId="15" fillId="0" borderId="44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left" vertical="top" wrapText="1" readingOrder="1"/>
    </xf>
    <xf numFmtId="0" fontId="9" fillId="0" borderId="33" xfId="0" applyFont="1" applyBorder="1" applyAlignment="1">
      <alignment horizontal="left" vertical="top" wrapText="1" readingOrder="1"/>
    </xf>
    <xf numFmtId="0" fontId="9" fillId="0" borderId="37" xfId="0" applyFont="1" applyBorder="1" applyAlignment="1">
      <alignment horizontal="left" vertical="top" wrapText="1" readingOrder="1"/>
    </xf>
    <xf numFmtId="0" fontId="9" fillId="0" borderId="7" xfId="0" applyFont="1" applyBorder="1" applyAlignment="1">
      <alignment horizontal="left" vertical="top" wrapText="1" readingOrder="1"/>
    </xf>
    <xf numFmtId="0" fontId="4" fillId="0" borderId="1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0" borderId="44" xfId="0" applyBorder="1" applyAlignment="1">
      <alignment horizontal="left" indent="1"/>
    </xf>
    <xf numFmtId="0" fontId="0" fillId="0" borderId="63" xfId="0" applyBorder="1" applyAlignment="1">
      <alignment horizontal="left" indent="1"/>
    </xf>
    <xf numFmtId="0" fontId="0" fillId="0" borderId="64" xfId="0" applyBorder="1" applyAlignment="1">
      <alignment horizontal="left" indent="1"/>
    </xf>
    <xf numFmtId="0" fontId="26" fillId="0" borderId="15" xfId="0" applyFont="1" applyBorder="1" applyAlignment="1">
      <alignment horizontal="center" vertical="center" indent="1"/>
    </xf>
    <xf numFmtId="0" fontId="26" fillId="0" borderId="17" xfId="0" applyFont="1" applyBorder="1" applyAlignment="1">
      <alignment horizontal="center" vertical="center" indent="1"/>
    </xf>
    <xf numFmtId="0" fontId="25" fillId="0" borderId="17" xfId="0" applyFont="1" applyBorder="1" applyAlignment="1">
      <alignment horizontal="left" indent="1"/>
    </xf>
    <xf numFmtId="0" fontId="25" fillId="0" borderId="18" xfId="0" applyFont="1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0" xfId="0" applyAlignment="1">
      <alignment horizontal="center"/>
    </xf>
    <xf numFmtId="0" fontId="0" fillId="0" borderId="63" xfId="0" applyBorder="1" applyAlignment="1">
      <alignment horizontal="center"/>
    </xf>
    <xf numFmtId="0" fontId="15" fillId="0" borderId="15" xfId="0" applyFont="1" applyBorder="1" applyAlignment="1">
      <alignment horizontal="left" vertical="center" indent="17"/>
    </xf>
    <xf numFmtId="0" fontId="15" fillId="0" borderId="17" xfId="0" applyFont="1" applyBorder="1" applyAlignment="1">
      <alignment horizontal="left" vertical="center" indent="17"/>
    </xf>
    <xf numFmtId="0" fontId="15" fillId="0" borderId="18" xfId="0" applyFont="1" applyBorder="1" applyAlignment="1">
      <alignment horizontal="left" vertical="center" indent="17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65" xfId="0" applyBorder="1" applyAlignment="1">
      <alignment horizontal="left" wrapText="1"/>
    </xf>
    <xf numFmtId="0" fontId="0" fillId="0" borderId="55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28575</xdr:rowOff>
    </xdr:from>
    <xdr:to>
      <xdr:col>0</xdr:col>
      <xdr:colOff>1009650</xdr:colOff>
      <xdr:row>0</xdr:row>
      <xdr:rowOff>742950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A8D18A-AE36-A013-D529-C12FBBC5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8575"/>
          <a:ext cx="752475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66675</xdr:rowOff>
    </xdr:from>
    <xdr:to>
      <xdr:col>1</xdr:col>
      <xdr:colOff>1314450</xdr:colOff>
      <xdr:row>0</xdr:row>
      <xdr:rowOff>962025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D9F78A-E22C-4AF1-89C6-7FAFDDAB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66675"/>
          <a:ext cx="952500" cy="89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38100</xdr:rowOff>
    </xdr:from>
    <xdr:to>
      <xdr:col>0</xdr:col>
      <xdr:colOff>1028700</xdr:colOff>
      <xdr:row>0</xdr:row>
      <xdr:rowOff>752475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C3BE73-71E8-4F6E-B8FA-E055B5CE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8100"/>
          <a:ext cx="752475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0</xdr:row>
      <xdr:rowOff>38100</xdr:rowOff>
    </xdr:from>
    <xdr:to>
      <xdr:col>4</xdr:col>
      <xdr:colOff>1028700</xdr:colOff>
      <xdr:row>0</xdr:row>
      <xdr:rowOff>752475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2DBDBE7D-D9BF-4823-9FE8-CE579395575C}"/>
            </a:ext>
            <a:ext uri="{147F2762-F138-4A5C-976F-8EAC2B608ADB}">
              <a16:predDERef xmlns:a16="http://schemas.microsoft.com/office/drawing/2014/main" pred="{5AC3BE73-71E8-4F6E-B8FA-E055B5CE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38100"/>
          <a:ext cx="7524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0</xdr:row>
      <xdr:rowOff>38100</xdr:rowOff>
    </xdr:from>
    <xdr:to>
      <xdr:col>8</xdr:col>
      <xdr:colOff>1028700</xdr:colOff>
      <xdr:row>0</xdr:row>
      <xdr:rowOff>752475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F1DBAF07-6D5C-4FCE-99DA-E979C7A25C6D}"/>
            </a:ext>
            <a:ext uri="{147F2762-F138-4A5C-976F-8EAC2B608ADB}">
              <a16:predDERef xmlns:a16="http://schemas.microsoft.com/office/drawing/2014/main" pred="{2DBDBE7D-D9BF-4823-9FE8-CE5793955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38100"/>
          <a:ext cx="75247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A40B-CC51-4A50-B3F7-786AFDEFCE54}">
  <sheetPr>
    <pageSetUpPr fitToPage="1"/>
  </sheetPr>
  <dimension ref="A1:J52"/>
  <sheetViews>
    <sheetView tabSelected="1" topLeftCell="A37" workbookViewId="0">
      <selection activeCell="A51" sqref="A51"/>
    </sheetView>
  </sheetViews>
  <sheetFormatPr defaultColWidth="9.109375" defaultRowHeight="14.4" x14ac:dyDescent="0.3"/>
  <cols>
    <col min="1" max="1" width="93" style="99" customWidth="1"/>
    <col min="2" max="2" width="33.109375" style="1" customWidth="1"/>
    <col min="3" max="3" width="10.44140625" customWidth="1"/>
    <col min="4" max="4" width="22.44140625" hidden="1" customWidth="1"/>
    <col min="5" max="5" width="10.6640625" hidden="1" customWidth="1"/>
    <col min="6" max="6" width="22.33203125" hidden="1" customWidth="1"/>
    <col min="7" max="7" width="88.6640625" bestFit="1" customWidth="1"/>
    <col min="8" max="8" width="16" bestFit="1" customWidth="1"/>
    <col min="10" max="10" width="16.88671875" customWidth="1"/>
  </cols>
  <sheetData>
    <row r="1" spans="1:10" ht="59.25" customHeight="1" x14ac:dyDescent="0.3">
      <c r="A1" s="161" t="s">
        <v>0</v>
      </c>
      <c r="B1" s="162"/>
    </row>
    <row r="2" spans="1:10" ht="17.25" customHeight="1" x14ac:dyDescent="0.3">
      <c r="A2" s="164"/>
      <c r="B2" s="164"/>
    </row>
    <row r="3" spans="1:10" ht="24" customHeight="1" x14ac:dyDescent="0.45">
      <c r="A3" s="100" t="s">
        <v>1</v>
      </c>
      <c r="B3" s="68" t="s">
        <v>2</v>
      </c>
      <c r="D3" s="9" t="s">
        <v>3</v>
      </c>
      <c r="E3" s="10"/>
      <c r="F3" s="11" t="s">
        <v>4</v>
      </c>
    </row>
    <row r="4" spans="1:10" ht="17.399999999999999" x14ac:dyDescent="0.4">
      <c r="A4" s="163" t="s">
        <v>5</v>
      </c>
      <c r="B4" s="163"/>
      <c r="D4" s="12"/>
      <c r="E4" s="12"/>
      <c r="F4" s="13"/>
    </row>
    <row r="5" spans="1:10" s="70" customFormat="1" ht="21.75" customHeight="1" x14ac:dyDescent="0.3">
      <c r="A5" s="94" t="s">
        <v>6</v>
      </c>
      <c r="B5" s="69" t="s">
        <v>7</v>
      </c>
      <c r="D5" s="71" t="s">
        <v>8</v>
      </c>
      <c r="E5" s="72"/>
      <c r="F5" s="73" t="s">
        <v>9</v>
      </c>
    </row>
    <row r="6" spans="1:10" s="70" customFormat="1" ht="21.75" customHeight="1" x14ac:dyDescent="0.3">
      <c r="A6" s="95" t="s">
        <v>10</v>
      </c>
      <c r="B6" s="74" t="s">
        <v>11</v>
      </c>
      <c r="D6" s="75">
        <f xml:space="preserve"> F6  *  1.25</f>
        <v>156.25</v>
      </c>
      <c r="E6" s="72"/>
      <c r="F6" s="76">
        <v>125</v>
      </c>
    </row>
    <row r="7" spans="1:10" s="70" customFormat="1" ht="21.75" customHeight="1" x14ac:dyDescent="0.3">
      <c r="A7" s="95" t="s">
        <v>12</v>
      </c>
      <c r="B7" s="74">
        <v>130</v>
      </c>
      <c r="D7" s="75">
        <f xml:space="preserve"> F7  *  1.25</f>
        <v>178.75</v>
      </c>
      <c r="E7" s="72"/>
      <c r="F7" s="76">
        <v>143</v>
      </c>
    </row>
    <row r="8" spans="1:10" s="70" customFormat="1" ht="21.75" customHeight="1" x14ac:dyDescent="0.3">
      <c r="A8" s="95" t="s">
        <v>13</v>
      </c>
      <c r="B8" s="74">
        <v>140</v>
      </c>
      <c r="D8" s="75">
        <f xml:space="preserve"> F8  *  1.25</f>
        <v>195</v>
      </c>
      <c r="E8" s="77"/>
      <c r="F8" s="76">
        <v>156</v>
      </c>
    </row>
    <row r="9" spans="1:10" s="70" customFormat="1" ht="21.75" customHeight="1" x14ac:dyDescent="0.3">
      <c r="A9" s="95" t="s">
        <v>14</v>
      </c>
      <c r="B9" s="74" t="s">
        <v>15</v>
      </c>
      <c r="D9" s="75"/>
      <c r="E9" s="77"/>
      <c r="F9" s="76"/>
    </row>
    <row r="10" spans="1:10" s="70" customFormat="1" ht="21.75" customHeight="1" x14ac:dyDescent="0.3">
      <c r="A10" s="95" t="s">
        <v>16</v>
      </c>
      <c r="B10" s="74" t="s">
        <v>17</v>
      </c>
      <c r="D10" s="75">
        <f xml:space="preserve"> F10  *  1.25</f>
        <v>213.75</v>
      </c>
      <c r="E10" s="72"/>
      <c r="F10" s="76">
        <v>171</v>
      </c>
    </row>
    <row r="11" spans="1:10" s="70" customFormat="1" ht="21.75" customHeight="1" x14ac:dyDescent="0.3">
      <c r="A11" s="95" t="s">
        <v>18</v>
      </c>
      <c r="B11" s="74" t="s">
        <v>19</v>
      </c>
      <c r="D11" s="75">
        <f xml:space="preserve"> F11  *  1.25</f>
        <v>325</v>
      </c>
      <c r="E11" s="72"/>
      <c r="F11" s="78">
        <v>260</v>
      </c>
    </row>
    <row r="12" spans="1:10" s="70" customFormat="1" ht="21.75" customHeight="1" x14ac:dyDescent="0.3">
      <c r="A12" s="95" t="s">
        <v>20</v>
      </c>
      <c r="B12" s="74" t="s">
        <v>21</v>
      </c>
      <c r="D12" s="75">
        <f xml:space="preserve"> F12  *  1.25</f>
        <v>365</v>
      </c>
      <c r="E12" s="72"/>
      <c r="F12" s="76">
        <v>292</v>
      </c>
    </row>
    <row r="13" spans="1:10" s="70" customFormat="1" ht="21.75" customHeight="1" x14ac:dyDescent="0.3">
      <c r="A13" s="96" t="s">
        <v>22</v>
      </c>
      <c r="B13" s="74" t="s">
        <v>23</v>
      </c>
      <c r="D13" s="75" t="s">
        <v>24</v>
      </c>
      <c r="E13" s="72"/>
      <c r="F13" s="76" t="s">
        <v>25</v>
      </c>
    </row>
    <row r="14" spans="1:10" s="70" customFormat="1" ht="21.75" customHeight="1" x14ac:dyDescent="0.3">
      <c r="A14" s="97" t="s">
        <v>26</v>
      </c>
      <c r="B14" s="79" t="s">
        <v>27</v>
      </c>
      <c r="D14" s="80"/>
      <c r="E14" s="72"/>
      <c r="F14" s="81" t="s">
        <v>25</v>
      </c>
      <c r="J14" s="77"/>
    </row>
    <row r="15" spans="1:10" s="70" customFormat="1" ht="21.75" customHeight="1" x14ac:dyDescent="0.3">
      <c r="A15" s="160" t="s">
        <v>28</v>
      </c>
      <c r="B15" s="160"/>
      <c r="D15" s="107"/>
      <c r="E15" s="72"/>
      <c r="F15" s="108"/>
    </row>
    <row r="16" spans="1:10" s="70" customFormat="1" ht="21.75" customHeight="1" x14ac:dyDescent="0.3">
      <c r="A16" s="94" t="s">
        <v>29</v>
      </c>
      <c r="B16" s="69">
        <v>12</v>
      </c>
      <c r="D16" s="107"/>
      <c r="E16" s="72"/>
      <c r="F16" s="108"/>
    </row>
    <row r="17" spans="1:8" s="70" customFormat="1" ht="21.75" customHeight="1" x14ac:dyDescent="0.3">
      <c r="A17" s="95" t="s">
        <v>30</v>
      </c>
      <c r="B17" s="82">
        <v>15</v>
      </c>
      <c r="D17" s="107"/>
      <c r="E17" s="72"/>
      <c r="F17" s="108"/>
    </row>
    <row r="18" spans="1:8" s="70" customFormat="1" ht="21.75" customHeight="1" x14ac:dyDescent="0.3">
      <c r="A18" s="95" t="s">
        <v>31</v>
      </c>
      <c r="B18" s="74">
        <v>18</v>
      </c>
      <c r="D18" s="107"/>
      <c r="E18" s="72"/>
      <c r="F18" s="108"/>
    </row>
    <row r="19" spans="1:8" s="70" customFormat="1" ht="21.75" customHeight="1" x14ac:dyDescent="0.3">
      <c r="A19" s="95" t="s">
        <v>32</v>
      </c>
      <c r="B19" s="74">
        <v>22</v>
      </c>
      <c r="D19" s="107"/>
      <c r="E19" s="72"/>
      <c r="F19" s="108"/>
    </row>
    <row r="20" spans="1:8" s="70" customFormat="1" ht="21.75" customHeight="1" x14ac:dyDescent="0.3">
      <c r="A20" s="95" t="s">
        <v>33</v>
      </c>
      <c r="B20" s="74">
        <v>25</v>
      </c>
      <c r="D20" s="107"/>
      <c r="E20" s="72"/>
      <c r="F20" s="108"/>
    </row>
    <row r="21" spans="1:8" s="70" customFormat="1" ht="21.75" customHeight="1" x14ac:dyDescent="0.3">
      <c r="A21" s="95" t="s">
        <v>34</v>
      </c>
      <c r="B21" s="74">
        <v>5</v>
      </c>
      <c r="D21" s="107"/>
      <c r="E21" s="72"/>
      <c r="F21" s="108"/>
    </row>
    <row r="22" spans="1:8" s="70" customFormat="1" ht="21.75" customHeight="1" x14ac:dyDescent="0.3">
      <c r="A22" s="95" t="s">
        <v>35</v>
      </c>
      <c r="B22" s="74">
        <v>15</v>
      </c>
      <c r="D22" s="107"/>
      <c r="E22" s="72"/>
      <c r="F22" s="108"/>
    </row>
    <row r="23" spans="1:8" s="70" customFormat="1" ht="21.75" customHeight="1" x14ac:dyDescent="0.3">
      <c r="A23" s="97" t="s">
        <v>36</v>
      </c>
      <c r="B23" s="83">
        <v>8.5</v>
      </c>
      <c r="D23" s="107"/>
      <c r="E23" s="72"/>
      <c r="F23" s="108"/>
    </row>
    <row r="24" spans="1:8" s="70" customFormat="1" ht="21.75" customHeight="1" x14ac:dyDescent="0.3">
      <c r="A24" s="160" t="s">
        <v>37</v>
      </c>
      <c r="B24" s="160"/>
      <c r="D24" s="85"/>
      <c r="E24" s="85"/>
      <c r="F24" s="86"/>
    </row>
    <row r="25" spans="1:8" s="70" customFormat="1" ht="21.75" customHeight="1" x14ac:dyDescent="0.3">
      <c r="A25" s="104" t="s">
        <v>38</v>
      </c>
      <c r="B25" s="69" t="s">
        <v>39</v>
      </c>
      <c r="D25" s="71" t="s">
        <v>40</v>
      </c>
      <c r="E25" s="72"/>
      <c r="F25" s="73" t="s">
        <v>41</v>
      </c>
    </row>
    <row r="26" spans="1:8" s="70" customFormat="1" ht="21.75" customHeight="1" x14ac:dyDescent="0.3">
      <c r="A26" s="105" t="s">
        <v>42</v>
      </c>
      <c r="B26" s="74" t="s">
        <v>43</v>
      </c>
      <c r="D26" s="87" t="s">
        <v>44</v>
      </c>
      <c r="E26" s="72"/>
      <c r="F26" s="88" t="s">
        <v>45</v>
      </c>
    </row>
    <row r="27" spans="1:8" s="70" customFormat="1" ht="21.75" customHeight="1" x14ac:dyDescent="0.3">
      <c r="A27" s="106" t="s">
        <v>46</v>
      </c>
      <c r="B27" s="103">
        <v>0.25</v>
      </c>
      <c r="D27" s="87"/>
      <c r="E27" s="72"/>
      <c r="F27" s="88"/>
    </row>
    <row r="28" spans="1:8" s="70" customFormat="1" ht="21.75" customHeight="1" x14ac:dyDescent="0.3">
      <c r="A28" s="106" t="s">
        <v>47</v>
      </c>
      <c r="B28" s="103">
        <v>0.3</v>
      </c>
      <c r="D28" s="87"/>
      <c r="E28" s="72"/>
      <c r="F28" s="88"/>
    </row>
    <row r="29" spans="1:8" s="70" customFormat="1" ht="21.75" customHeight="1" x14ac:dyDescent="0.3">
      <c r="A29" s="105" t="s">
        <v>48</v>
      </c>
      <c r="B29" s="74">
        <v>30</v>
      </c>
      <c r="D29" s="75">
        <f xml:space="preserve"> F29  *  1.25</f>
        <v>33.75</v>
      </c>
      <c r="E29" s="72"/>
      <c r="F29" s="76">
        <v>27</v>
      </c>
    </row>
    <row r="30" spans="1:8" s="70" customFormat="1" ht="21.75" customHeight="1" x14ac:dyDescent="0.3">
      <c r="A30" s="105" t="s">
        <v>49</v>
      </c>
      <c r="B30" s="74">
        <v>35</v>
      </c>
      <c r="D30" s="75">
        <f xml:space="preserve"> F30  *  1.25</f>
        <v>41.25</v>
      </c>
      <c r="E30" s="72"/>
      <c r="F30" s="76">
        <v>33</v>
      </c>
    </row>
    <row r="31" spans="1:8" s="70" customFormat="1" ht="21.75" customHeight="1" x14ac:dyDescent="0.3">
      <c r="A31" s="105" t="s">
        <v>50</v>
      </c>
      <c r="B31" s="74">
        <v>40</v>
      </c>
      <c r="D31" s="75">
        <f xml:space="preserve"> F31  *  1.25</f>
        <v>50</v>
      </c>
      <c r="E31" s="72"/>
      <c r="F31" s="76">
        <v>40</v>
      </c>
      <c r="G31" s="157" t="s">
        <v>51</v>
      </c>
      <c r="H31" s="157"/>
    </row>
    <row r="32" spans="1:8" s="70" customFormat="1" ht="21.75" customHeight="1" x14ac:dyDescent="0.3">
      <c r="A32" s="105" t="s">
        <v>52</v>
      </c>
      <c r="B32" s="74">
        <v>30</v>
      </c>
      <c r="D32" s="75"/>
      <c r="E32" s="72"/>
      <c r="F32" s="76"/>
      <c r="G32" s="111" t="s">
        <v>10</v>
      </c>
      <c r="H32" s="113" t="s">
        <v>53</v>
      </c>
    </row>
    <row r="33" spans="1:8" s="70" customFormat="1" ht="21.75" customHeight="1" x14ac:dyDescent="0.3">
      <c r="A33" s="105" t="s">
        <v>54</v>
      </c>
      <c r="B33" s="74">
        <v>45</v>
      </c>
      <c r="D33" s="75">
        <f xml:space="preserve"> F33  *  1.25</f>
        <v>45.625</v>
      </c>
      <c r="E33" s="72"/>
      <c r="F33" s="76">
        <v>36.5</v>
      </c>
      <c r="G33" s="112" t="s">
        <v>12</v>
      </c>
      <c r="H33" s="114">
        <v>39</v>
      </c>
    </row>
    <row r="34" spans="1:8" s="70" customFormat="1" ht="21.75" customHeight="1" x14ac:dyDescent="0.3">
      <c r="A34" s="105" t="s">
        <v>55</v>
      </c>
      <c r="B34" s="74">
        <v>60</v>
      </c>
      <c r="D34" s="75">
        <f xml:space="preserve"> F34  *  1.25</f>
        <v>60</v>
      </c>
      <c r="E34" s="72"/>
      <c r="F34" s="76">
        <v>48</v>
      </c>
      <c r="G34" s="112" t="s">
        <v>13</v>
      </c>
      <c r="H34" s="114">
        <v>42</v>
      </c>
    </row>
    <row r="35" spans="1:8" s="70" customFormat="1" ht="21.75" customHeight="1" x14ac:dyDescent="0.3">
      <c r="A35" s="105" t="s">
        <v>56</v>
      </c>
      <c r="B35" s="74">
        <v>75</v>
      </c>
      <c r="D35" s="75"/>
      <c r="E35" s="72"/>
      <c r="F35" s="76"/>
      <c r="G35" s="112" t="s">
        <v>14</v>
      </c>
      <c r="H35" s="114" t="s">
        <v>57</v>
      </c>
    </row>
    <row r="36" spans="1:8" s="70" customFormat="1" ht="21.75" customHeight="1" x14ac:dyDescent="0.3">
      <c r="A36" s="105" t="s">
        <v>58</v>
      </c>
      <c r="B36" s="74">
        <v>90</v>
      </c>
      <c r="D36" s="75">
        <f xml:space="preserve"> F36  *  1.25</f>
        <v>75</v>
      </c>
      <c r="E36" s="72"/>
      <c r="F36" s="76">
        <v>60</v>
      </c>
      <c r="G36" s="112" t="s">
        <v>16</v>
      </c>
      <c r="H36" s="114" t="s">
        <v>59</v>
      </c>
    </row>
    <row r="37" spans="1:8" s="70" customFormat="1" ht="21.75" customHeight="1" x14ac:dyDescent="0.3">
      <c r="A37" s="105" t="s">
        <v>60</v>
      </c>
      <c r="B37" s="74">
        <v>15</v>
      </c>
      <c r="D37" s="75">
        <f xml:space="preserve"> F37  *  1.25</f>
        <v>19.5625</v>
      </c>
      <c r="E37" s="72"/>
      <c r="F37" s="76">
        <v>15.65</v>
      </c>
      <c r="G37" s="112" t="s">
        <v>18</v>
      </c>
      <c r="H37" s="114" t="s">
        <v>61</v>
      </c>
    </row>
    <row r="38" spans="1:8" s="70" customFormat="1" ht="21.75" customHeight="1" x14ac:dyDescent="0.3">
      <c r="A38" s="105" t="s">
        <v>62</v>
      </c>
      <c r="B38" s="74">
        <v>80</v>
      </c>
      <c r="D38" s="75">
        <f xml:space="preserve"> F38  *  1.25</f>
        <v>91.25</v>
      </c>
      <c r="E38" s="72"/>
      <c r="F38" s="76">
        <v>73</v>
      </c>
      <c r="G38" s="112" t="s">
        <v>20</v>
      </c>
      <c r="H38" s="114" t="s">
        <v>63</v>
      </c>
    </row>
    <row r="39" spans="1:8" s="70" customFormat="1" ht="21.75" customHeight="1" x14ac:dyDescent="0.3">
      <c r="A39" s="116" t="s">
        <v>64</v>
      </c>
      <c r="B39" s="83">
        <v>200</v>
      </c>
      <c r="D39" s="84">
        <v>168.75</v>
      </c>
      <c r="E39" s="72"/>
      <c r="F39" s="102">
        <v>135</v>
      </c>
      <c r="G39" s="110" t="s">
        <v>65</v>
      </c>
      <c r="H39" s="109" t="s">
        <v>66</v>
      </c>
    </row>
    <row r="40" spans="1:8" s="70" customFormat="1" ht="21.75" customHeight="1" x14ac:dyDescent="0.3">
      <c r="A40" s="160" t="s">
        <v>67</v>
      </c>
      <c r="B40" s="160"/>
      <c r="D40" s="84"/>
      <c r="E40" s="72"/>
      <c r="F40" s="102"/>
      <c r="G40" s="115"/>
      <c r="H40" s="109"/>
    </row>
    <row r="41" spans="1:8" s="70" customFormat="1" ht="21.75" customHeight="1" x14ac:dyDescent="0.3">
      <c r="A41" s="104" t="s">
        <v>68</v>
      </c>
      <c r="B41" s="69" t="s">
        <v>69</v>
      </c>
      <c r="D41" s="84"/>
      <c r="E41" s="72"/>
      <c r="F41" s="102"/>
      <c r="G41" s="158" t="s">
        <v>70</v>
      </c>
      <c r="H41" s="159"/>
    </row>
    <row r="42" spans="1:8" s="70" customFormat="1" ht="21.75" customHeight="1" x14ac:dyDescent="0.3">
      <c r="A42" s="105" t="s">
        <v>71</v>
      </c>
      <c r="B42" s="74" t="s">
        <v>72</v>
      </c>
      <c r="D42" s="84"/>
      <c r="E42" s="72"/>
      <c r="F42" s="102"/>
    </row>
    <row r="43" spans="1:8" s="70" customFormat="1" ht="21.75" customHeight="1" x14ac:dyDescent="0.3">
      <c r="A43" s="105" t="s">
        <v>73</v>
      </c>
      <c r="B43" s="74" t="s">
        <v>74</v>
      </c>
      <c r="D43" s="84"/>
      <c r="E43" s="72"/>
      <c r="F43" s="102"/>
    </row>
    <row r="44" spans="1:8" s="70" customFormat="1" ht="21.75" customHeight="1" x14ac:dyDescent="0.3">
      <c r="A44" s="116" t="s">
        <v>75</v>
      </c>
      <c r="B44" s="83">
        <v>400</v>
      </c>
      <c r="D44" s="84"/>
      <c r="E44" s="72"/>
      <c r="F44" s="102"/>
    </row>
    <row r="45" spans="1:8" s="70" customFormat="1" ht="21.75" hidden="1" customHeight="1" x14ac:dyDescent="0.3">
      <c r="A45" s="117" t="s">
        <v>76</v>
      </c>
      <c r="B45" s="82" t="s">
        <v>77</v>
      </c>
      <c r="D45" s="89"/>
      <c r="E45" s="72"/>
      <c r="F45" s="90"/>
    </row>
    <row r="46" spans="1:8" s="70" customFormat="1" ht="21.75" customHeight="1" x14ac:dyDescent="0.3">
      <c r="A46" s="98"/>
      <c r="B46" s="91"/>
      <c r="D46" s="92"/>
      <c r="F46" s="93"/>
    </row>
    <row r="47" spans="1:8" ht="20.399999999999999" x14ac:dyDescent="0.45">
      <c r="A47" s="34" t="s">
        <v>78</v>
      </c>
    </row>
    <row r="48" spans="1:8" ht="18" customHeight="1" x14ac:dyDescent="0.35">
      <c r="A48" s="32" t="s">
        <v>79</v>
      </c>
    </row>
    <row r="49" spans="1:1" ht="18" customHeight="1" x14ac:dyDescent="0.35">
      <c r="A49" s="32" t="s">
        <v>80</v>
      </c>
    </row>
    <row r="50" spans="1:1" ht="18" customHeight="1" x14ac:dyDescent="0.35">
      <c r="A50" s="101" t="s">
        <v>81</v>
      </c>
    </row>
    <row r="51" spans="1:1" ht="18" customHeight="1" x14ac:dyDescent="0.35">
      <c r="A51" s="101" t="s">
        <v>82</v>
      </c>
    </row>
    <row r="52" spans="1:1" ht="18" customHeight="1" x14ac:dyDescent="0.35">
      <c r="A52" s="101" t="s">
        <v>83</v>
      </c>
    </row>
  </sheetData>
  <mergeCells count="7">
    <mergeCell ref="G41:H41"/>
    <mergeCell ref="A40:B40"/>
    <mergeCell ref="A1:B1"/>
    <mergeCell ref="A4:B4"/>
    <mergeCell ref="A24:B24"/>
    <mergeCell ref="A2:B2"/>
    <mergeCell ref="A15:B15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DC04-F264-412C-B4B6-0D3B81A81783}">
  <sheetPr>
    <pageSetUpPr fitToPage="1"/>
  </sheetPr>
  <dimension ref="A1:E39"/>
  <sheetViews>
    <sheetView workbookViewId="0">
      <selection activeCell="E3" sqref="E3"/>
    </sheetView>
  </sheetViews>
  <sheetFormatPr defaultRowHeight="15" customHeight="1" x14ac:dyDescent="0.3"/>
  <cols>
    <col min="1" max="1" width="110.88671875" bestFit="1" customWidth="1"/>
    <col min="2" max="2" width="18.33203125" style="1" bestFit="1" customWidth="1"/>
    <col min="3" max="3" width="15.109375" bestFit="1" customWidth="1"/>
    <col min="4" max="4" width="48.44140625" bestFit="1" customWidth="1"/>
    <col min="5" max="5" width="15.109375" bestFit="1" customWidth="1"/>
    <col min="6" max="6" width="24.44140625" bestFit="1" customWidth="1"/>
    <col min="7" max="7" width="46.44140625" bestFit="1" customWidth="1"/>
    <col min="8" max="8" width="15.109375" bestFit="1" customWidth="1"/>
    <col min="9" max="24" width="16.33203125" bestFit="1" customWidth="1"/>
    <col min="25" max="25" width="18.109375" bestFit="1" customWidth="1"/>
    <col min="26" max="28" width="16.33203125" bestFit="1" customWidth="1"/>
    <col min="29" max="29" width="78.6640625" bestFit="1" customWidth="1"/>
    <col min="30" max="30" width="10.109375" bestFit="1" customWidth="1"/>
  </cols>
  <sheetData>
    <row r="1" spans="1:5" ht="24" customHeight="1" x14ac:dyDescent="0.4">
      <c r="A1" s="165" t="s">
        <v>84</v>
      </c>
      <c r="B1" s="166"/>
      <c r="D1" s="165" t="s">
        <v>85</v>
      </c>
      <c r="E1" s="166"/>
    </row>
    <row r="2" spans="1:5" ht="18" x14ac:dyDescent="0.35">
      <c r="A2" s="56" t="s">
        <v>86</v>
      </c>
      <c r="B2" s="57" t="s">
        <v>2</v>
      </c>
      <c r="D2" s="62" t="s">
        <v>87</v>
      </c>
      <c r="E2" s="63" t="s">
        <v>88</v>
      </c>
    </row>
    <row r="3" spans="1:5" ht="18" x14ac:dyDescent="0.35">
      <c r="A3" s="167" t="s">
        <v>28</v>
      </c>
      <c r="B3" s="168"/>
      <c r="D3" s="59" t="s">
        <v>89</v>
      </c>
      <c r="E3" s="60">
        <v>36.5</v>
      </c>
    </row>
    <row r="4" spans="1:5" ht="14.4" x14ac:dyDescent="0.3">
      <c r="A4" s="54" t="s">
        <v>90</v>
      </c>
      <c r="B4" s="52">
        <v>9.4</v>
      </c>
      <c r="D4" s="58" t="s">
        <v>91</v>
      </c>
      <c r="E4" s="61">
        <v>36.5</v>
      </c>
    </row>
    <row r="5" spans="1:5" ht="14.4" x14ac:dyDescent="0.3">
      <c r="A5" s="3" t="s">
        <v>92</v>
      </c>
      <c r="B5" s="48">
        <v>12.5</v>
      </c>
      <c r="D5" s="58" t="s">
        <v>93</v>
      </c>
      <c r="E5" s="61">
        <v>36.5</v>
      </c>
    </row>
    <row r="6" spans="1:5" ht="14.4" x14ac:dyDescent="0.3">
      <c r="A6" s="3" t="s">
        <v>94</v>
      </c>
      <c r="B6" s="48">
        <v>15.64</v>
      </c>
      <c r="D6" s="58" t="s">
        <v>95</v>
      </c>
      <c r="E6" s="61">
        <v>36.5</v>
      </c>
    </row>
    <row r="7" spans="1:5" ht="14.4" x14ac:dyDescent="0.3">
      <c r="A7" s="3" t="s">
        <v>96</v>
      </c>
      <c r="B7" s="48">
        <v>15.64</v>
      </c>
      <c r="D7" s="58" t="s">
        <v>97</v>
      </c>
      <c r="E7" s="61">
        <v>36.5</v>
      </c>
    </row>
    <row r="8" spans="1:5" ht="14.4" x14ac:dyDescent="0.3">
      <c r="A8" s="3" t="s">
        <v>98</v>
      </c>
      <c r="B8" s="48">
        <v>15.64</v>
      </c>
      <c r="D8" s="58" t="s">
        <v>99</v>
      </c>
      <c r="E8" s="61">
        <v>36.5</v>
      </c>
    </row>
    <row r="9" spans="1:5" ht="14.4" x14ac:dyDescent="0.3">
      <c r="A9" s="3" t="s">
        <v>100</v>
      </c>
      <c r="B9" s="48">
        <v>18.77</v>
      </c>
      <c r="D9" s="58" t="s">
        <v>101</v>
      </c>
      <c r="E9" s="61">
        <v>48</v>
      </c>
    </row>
    <row r="10" spans="1:5" ht="14.4" x14ac:dyDescent="0.3">
      <c r="A10" s="3" t="s">
        <v>102</v>
      </c>
      <c r="B10" s="48">
        <v>22</v>
      </c>
      <c r="D10" s="58" t="s">
        <v>103</v>
      </c>
      <c r="E10" s="61">
        <v>36.5</v>
      </c>
    </row>
    <row r="11" spans="1:5" ht="14.4" x14ac:dyDescent="0.3">
      <c r="A11" s="3" t="s">
        <v>35</v>
      </c>
      <c r="B11" s="48">
        <v>10</v>
      </c>
      <c r="D11" s="58" t="s">
        <v>104</v>
      </c>
      <c r="E11" s="61">
        <v>36.5</v>
      </c>
    </row>
    <row r="12" spans="1:5" ht="14.4" x14ac:dyDescent="0.3">
      <c r="A12" s="3" t="s">
        <v>36</v>
      </c>
      <c r="B12" s="48">
        <v>5.95</v>
      </c>
      <c r="D12" s="58" t="s">
        <v>105</v>
      </c>
      <c r="E12" s="61">
        <v>36.5</v>
      </c>
    </row>
    <row r="13" spans="1:5" ht="14.4" x14ac:dyDescent="0.3">
      <c r="A13" s="3" t="s">
        <v>106</v>
      </c>
      <c r="B13" s="48">
        <v>7.66</v>
      </c>
      <c r="D13" s="58" t="s">
        <v>107</v>
      </c>
      <c r="E13" s="61">
        <v>48</v>
      </c>
    </row>
    <row r="14" spans="1:5" ht="14.4" x14ac:dyDescent="0.3">
      <c r="A14" s="6" t="s">
        <v>108</v>
      </c>
      <c r="B14" s="51">
        <v>18.77</v>
      </c>
      <c r="D14" s="65" t="s">
        <v>109</v>
      </c>
      <c r="E14" s="66">
        <v>36.5</v>
      </c>
    </row>
    <row r="15" spans="1:5" ht="18" x14ac:dyDescent="0.35">
      <c r="A15" s="167" t="s">
        <v>110</v>
      </c>
      <c r="B15" s="168"/>
      <c r="D15" s="67" t="s">
        <v>111</v>
      </c>
      <c r="E15" s="64">
        <v>461</v>
      </c>
    </row>
    <row r="16" spans="1:5" ht="14.4" x14ac:dyDescent="0.3">
      <c r="A16" s="54" t="s">
        <v>112</v>
      </c>
      <c r="B16" s="55" t="s">
        <v>113</v>
      </c>
    </row>
    <row r="17" spans="1:2" ht="14.4" x14ac:dyDescent="0.3">
      <c r="A17" s="3" t="s">
        <v>114</v>
      </c>
      <c r="B17" s="48">
        <v>125</v>
      </c>
    </row>
    <row r="18" spans="1:2" ht="14.4" x14ac:dyDescent="0.3">
      <c r="A18" s="3" t="s">
        <v>115</v>
      </c>
      <c r="B18" s="48">
        <v>143</v>
      </c>
    </row>
    <row r="19" spans="1:2" ht="14.4" x14ac:dyDescent="0.3">
      <c r="A19" s="3" t="s">
        <v>116</v>
      </c>
      <c r="B19" s="48">
        <v>156</v>
      </c>
    </row>
    <row r="20" spans="1:2" ht="14.4" x14ac:dyDescent="0.3">
      <c r="A20" s="3" t="s">
        <v>117</v>
      </c>
      <c r="B20" s="48">
        <v>171</v>
      </c>
    </row>
    <row r="21" spans="1:2" ht="14.4" x14ac:dyDescent="0.3">
      <c r="A21" s="3" t="s">
        <v>118</v>
      </c>
      <c r="B21" s="48">
        <v>202</v>
      </c>
    </row>
    <row r="22" spans="1:2" ht="14.4" x14ac:dyDescent="0.3">
      <c r="A22" s="3" t="s">
        <v>119</v>
      </c>
      <c r="B22" s="49" t="s">
        <v>120</v>
      </c>
    </row>
    <row r="23" spans="1:2" ht="14.4" x14ac:dyDescent="0.3">
      <c r="A23" s="3" t="s">
        <v>121</v>
      </c>
      <c r="B23" s="50">
        <v>260</v>
      </c>
    </row>
    <row r="24" spans="1:2" ht="14.4" x14ac:dyDescent="0.3">
      <c r="A24" s="3" t="s">
        <v>122</v>
      </c>
      <c r="B24" s="51">
        <v>292</v>
      </c>
    </row>
    <row r="25" spans="1:2" ht="14.4" x14ac:dyDescent="0.3">
      <c r="A25" s="6" t="s">
        <v>123</v>
      </c>
      <c r="B25" s="8" t="s">
        <v>124</v>
      </c>
    </row>
    <row r="26" spans="1:2" ht="18" x14ac:dyDescent="0.35">
      <c r="A26" s="167" t="s">
        <v>37</v>
      </c>
      <c r="B26" s="168"/>
    </row>
    <row r="27" spans="1:2" ht="14.4" x14ac:dyDescent="0.3">
      <c r="A27" s="54" t="s">
        <v>38</v>
      </c>
      <c r="B27" s="7" t="s">
        <v>125</v>
      </c>
    </row>
    <row r="28" spans="1:2" ht="14.4" x14ac:dyDescent="0.3">
      <c r="A28" s="3" t="s">
        <v>42</v>
      </c>
      <c r="B28" s="5" t="s">
        <v>126</v>
      </c>
    </row>
    <row r="29" spans="1:2" ht="14.4" x14ac:dyDescent="0.3">
      <c r="A29" s="3" t="s">
        <v>127</v>
      </c>
      <c r="B29" s="52">
        <v>27</v>
      </c>
    </row>
    <row r="30" spans="1:2" ht="14.4" x14ac:dyDescent="0.3">
      <c r="A30" s="3" t="s">
        <v>128</v>
      </c>
      <c r="B30" s="48">
        <v>33</v>
      </c>
    </row>
    <row r="31" spans="1:2" ht="14.4" x14ac:dyDescent="0.3">
      <c r="A31" s="3" t="s">
        <v>129</v>
      </c>
      <c r="B31" s="48">
        <v>40</v>
      </c>
    </row>
    <row r="32" spans="1:2" ht="14.4" x14ac:dyDescent="0.3">
      <c r="A32" s="3" t="s">
        <v>130</v>
      </c>
      <c r="B32" s="48">
        <v>36.5</v>
      </c>
    </row>
    <row r="33" spans="1:3" ht="14.4" x14ac:dyDescent="0.3">
      <c r="A33" s="3" t="s">
        <v>131</v>
      </c>
      <c r="B33" s="48">
        <v>48</v>
      </c>
    </row>
    <row r="34" spans="1:3" ht="14.4" x14ac:dyDescent="0.3">
      <c r="A34" s="3" t="s">
        <v>132</v>
      </c>
      <c r="B34" s="48">
        <v>60</v>
      </c>
      <c r="C34">
        <v>10</v>
      </c>
    </row>
    <row r="35" spans="1:3" ht="14.4" x14ac:dyDescent="0.3">
      <c r="A35" s="3" t="s">
        <v>133</v>
      </c>
      <c r="B35" s="48">
        <v>73</v>
      </c>
      <c r="C35">
        <v>7.3</v>
      </c>
    </row>
    <row r="36" spans="1:3" ht="14.4" x14ac:dyDescent="0.3">
      <c r="A36" s="3" t="s">
        <v>134</v>
      </c>
      <c r="B36" s="48">
        <v>135</v>
      </c>
      <c r="C36">
        <v>4.5</v>
      </c>
    </row>
    <row r="37" spans="1:3" ht="14.4" x14ac:dyDescent="0.3">
      <c r="A37" s="4" t="s">
        <v>60</v>
      </c>
      <c r="B37" s="53">
        <v>15.65</v>
      </c>
    </row>
    <row r="38" spans="1:3" ht="14.4" x14ac:dyDescent="0.3">
      <c r="A38" t="s">
        <v>135</v>
      </c>
      <c r="B38" s="2" t="s">
        <v>136</v>
      </c>
    </row>
    <row r="39" spans="1:3" ht="14.4" x14ac:dyDescent="0.3">
      <c r="A39" t="s">
        <v>137</v>
      </c>
      <c r="B39" s="2" t="s">
        <v>136</v>
      </c>
    </row>
  </sheetData>
  <mergeCells count="5">
    <mergeCell ref="A1:B1"/>
    <mergeCell ref="A3:B3"/>
    <mergeCell ref="A15:B15"/>
    <mergeCell ref="A26:B26"/>
    <mergeCell ref="D1:E1"/>
  </mergeCells>
  <pageMargins left="0.511811024" right="0.511811024" top="0.78740157499999996" bottom="0.78740157499999996" header="0.31496062000000002" footer="0.31496062000000002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376F-0047-4862-AD82-9B4579D58FFC}">
  <sheetPr>
    <pageSetUpPr fitToPage="1"/>
  </sheetPr>
  <dimension ref="A1:D40"/>
  <sheetViews>
    <sheetView workbookViewId="0">
      <selection activeCell="C34" sqref="C34"/>
    </sheetView>
  </sheetViews>
  <sheetFormatPr defaultRowHeight="20.25" customHeight="1" x14ac:dyDescent="0.3"/>
  <cols>
    <col min="1" max="1" width="47.109375" customWidth="1"/>
    <col min="2" max="2" width="40.88671875" customWidth="1"/>
    <col min="3" max="3" width="57.5546875" customWidth="1"/>
    <col min="4" max="4" width="36.5546875" bestFit="1" customWidth="1"/>
  </cols>
  <sheetData>
    <row r="1" spans="1:3" s="10" customFormat="1" ht="20.25" customHeight="1" x14ac:dyDescent="0.45">
      <c r="A1" s="169" t="s">
        <v>138</v>
      </c>
      <c r="B1" s="170"/>
      <c r="C1" s="171"/>
    </row>
    <row r="2" spans="1:3" s="10" customFormat="1" ht="20.25" customHeight="1" x14ac:dyDescent="0.4">
      <c r="A2" s="14" t="s">
        <v>139</v>
      </c>
      <c r="B2" s="15" t="s">
        <v>140</v>
      </c>
      <c r="C2" s="16" t="s">
        <v>141</v>
      </c>
    </row>
    <row r="3" spans="1:3" s="10" customFormat="1" ht="16.5" customHeight="1" x14ac:dyDescent="0.4">
      <c r="A3" s="17" t="s">
        <v>142</v>
      </c>
      <c r="B3" s="18" t="s">
        <v>143</v>
      </c>
      <c r="C3" s="19">
        <v>165</v>
      </c>
    </row>
    <row r="4" spans="1:3" s="10" customFormat="1" ht="16.5" customHeight="1" x14ac:dyDescent="0.4">
      <c r="A4" s="17" t="s">
        <v>142</v>
      </c>
      <c r="B4" s="18" t="s">
        <v>144</v>
      </c>
      <c r="C4" s="19">
        <v>41</v>
      </c>
    </row>
    <row r="5" spans="1:3" s="10" customFormat="1" ht="16.5" customHeight="1" x14ac:dyDescent="0.4">
      <c r="A5" s="17" t="s">
        <v>142</v>
      </c>
      <c r="B5" s="18" t="s">
        <v>145</v>
      </c>
      <c r="C5" s="19">
        <v>55</v>
      </c>
    </row>
    <row r="6" spans="1:3" s="10" customFormat="1" ht="16.5" customHeight="1" x14ac:dyDescent="0.4">
      <c r="A6" s="17"/>
      <c r="B6" s="18"/>
      <c r="C6" s="19"/>
    </row>
    <row r="7" spans="1:3" s="10" customFormat="1" ht="16.5" customHeight="1" x14ac:dyDescent="0.4">
      <c r="A7" s="17" t="s">
        <v>146</v>
      </c>
      <c r="B7" s="18" t="s">
        <v>143</v>
      </c>
      <c r="C7" s="19">
        <v>180</v>
      </c>
    </row>
    <row r="8" spans="1:3" s="10" customFormat="1" ht="16.5" customHeight="1" x14ac:dyDescent="0.4">
      <c r="A8" s="17" t="s">
        <v>146</v>
      </c>
      <c r="B8" s="18" t="s">
        <v>144</v>
      </c>
      <c r="C8" s="19">
        <v>45</v>
      </c>
    </row>
    <row r="9" spans="1:3" s="10" customFormat="1" ht="16.5" customHeight="1" x14ac:dyDescent="0.4">
      <c r="A9" s="17" t="s">
        <v>146</v>
      </c>
      <c r="B9" s="18" t="s">
        <v>145</v>
      </c>
      <c r="C9" s="19">
        <v>60</v>
      </c>
    </row>
    <row r="10" spans="1:3" s="10" customFormat="1" ht="16.5" customHeight="1" x14ac:dyDescent="0.4">
      <c r="A10" s="17"/>
      <c r="B10" s="18"/>
      <c r="C10" s="19"/>
    </row>
    <row r="11" spans="1:3" s="10" customFormat="1" ht="16.5" customHeight="1" x14ac:dyDescent="0.4">
      <c r="A11" s="17" t="s">
        <v>147</v>
      </c>
      <c r="B11" s="18" t="s">
        <v>143</v>
      </c>
      <c r="C11" s="19">
        <v>220</v>
      </c>
    </row>
    <row r="12" spans="1:3" s="10" customFormat="1" ht="16.5" customHeight="1" x14ac:dyDescent="0.4">
      <c r="A12" s="17" t="s">
        <v>147</v>
      </c>
      <c r="B12" s="18" t="s">
        <v>144</v>
      </c>
      <c r="C12" s="19">
        <v>55</v>
      </c>
    </row>
    <row r="13" spans="1:3" s="10" customFormat="1" ht="16.5" customHeight="1" x14ac:dyDescent="0.4">
      <c r="A13" s="17" t="s">
        <v>147</v>
      </c>
      <c r="B13" s="18" t="s">
        <v>145</v>
      </c>
      <c r="C13" s="19">
        <v>73</v>
      </c>
    </row>
    <row r="14" spans="1:3" s="10" customFormat="1" ht="16.5" customHeight="1" x14ac:dyDescent="0.4">
      <c r="A14" s="17"/>
      <c r="B14" s="18"/>
      <c r="C14" s="19"/>
    </row>
    <row r="15" spans="1:3" s="10" customFormat="1" ht="16.5" customHeight="1" x14ac:dyDescent="0.4">
      <c r="A15" s="17" t="s">
        <v>148</v>
      </c>
      <c r="B15" s="18" t="s">
        <v>143</v>
      </c>
      <c r="C15" s="19">
        <v>280</v>
      </c>
    </row>
    <row r="16" spans="1:3" s="10" customFormat="1" ht="16.5" customHeight="1" x14ac:dyDescent="0.4">
      <c r="A16" s="17" t="s">
        <v>148</v>
      </c>
      <c r="B16" s="18" t="s">
        <v>144</v>
      </c>
      <c r="C16" s="19">
        <v>70</v>
      </c>
    </row>
    <row r="17" spans="1:4" s="10" customFormat="1" ht="16.5" customHeight="1" x14ac:dyDescent="0.4">
      <c r="A17" s="20" t="s">
        <v>148</v>
      </c>
      <c r="B17" s="21" t="s">
        <v>145</v>
      </c>
      <c r="C17" s="22">
        <v>93</v>
      </c>
    </row>
    <row r="18" spans="1:4" s="10" customFormat="1" ht="20.25" customHeight="1" x14ac:dyDescent="0.35">
      <c r="A18" s="176"/>
      <c r="B18" s="176"/>
      <c r="C18" s="177"/>
    </row>
    <row r="19" spans="1:4" s="10" customFormat="1" ht="20.25" customHeight="1" x14ac:dyDescent="0.4">
      <c r="A19" s="23" t="s">
        <v>149</v>
      </c>
      <c r="B19" s="24" t="s">
        <v>150</v>
      </c>
      <c r="C19" s="25" t="s">
        <v>151</v>
      </c>
    </row>
    <row r="20" spans="1:4" s="10" customFormat="1" ht="21.75" customHeight="1" x14ac:dyDescent="0.35">
      <c r="A20" s="26" t="s">
        <v>152</v>
      </c>
      <c r="B20" s="27">
        <v>20</v>
      </c>
      <c r="C20" s="172" t="s">
        <v>153</v>
      </c>
    </row>
    <row r="21" spans="1:4" s="10" customFormat="1" ht="21.75" customHeight="1" x14ac:dyDescent="0.35">
      <c r="A21" s="28" t="s">
        <v>154</v>
      </c>
      <c r="B21" s="29">
        <v>30</v>
      </c>
      <c r="C21" s="173"/>
    </row>
    <row r="22" spans="1:4" s="10" customFormat="1" ht="21.75" customHeight="1" x14ac:dyDescent="0.35">
      <c r="A22" s="28" t="s">
        <v>155</v>
      </c>
      <c r="B22" s="29">
        <v>45</v>
      </c>
      <c r="C22" s="174" t="s">
        <v>156</v>
      </c>
    </row>
    <row r="23" spans="1:4" s="10" customFormat="1" ht="21.75" customHeight="1" x14ac:dyDescent="0.35">
      <c r="A23" s="28" t="s">
        <v>157</v>
      </c>
      <c r="B23" s="29" t="s">
        <v>158</v>
      </c>
      <c r="C23" s="173"/>
    </row>
    <row r="24" spans="1:4" s="10" customFormat="1" ht="21.75" customHeight="1" x14ac:dyDescent="0.35">
      <c r="A24" s="28" t="s">
        <v>159</v>
      </c>
      <c r="B24" s="29">
        <v>7</v>
      </c>
      <c r="C24" s="174" t="s">
        <v>160</v>
      </c>
    </row>
    <row r="25" spans="1:4" s="10" customFormat="1" ht="21.75" customHeight="1" x14ac:dyDescent="0.35">
      <c r="A25" s="30" t="s">
        <v>161</v>
      </c>
      <c r="B25" s="31">
        <v>7</v>
      </c>
      <c r="C25" s="175"/>
    </row>
    <row r="26" spans="1:4" s="10" customFormat="1" ht="20.25" customHeight="1" x14ac:dyDescent="0.35">
      <c r="A26" s="176"/>
      <c r="B26" s="176"/>
      <c r="C26" s="176"/>
    </row>
    <row r="27" spans="1:4" s="10" customFormat="1" ht="20.25" customHeight="1" x14ac:dyDescent="0.4">
      <c r="A27" s="36" t="s">
        <v>140</v>
      </c>
      <c r="B27" s="47" t="s">
        <v>162</v>
      </c>
      <c r="C27" s="37" t="s">
        <v>88</v>
      </c>
    </row>
    <row r="28" spans="1:4" s="10" customFormat="1" ht="20.25" customHeight="1" x14ac:dyDescent="0.4">
      <c r="A28" s="41" t="s">
        <v>163</v>
      </c>
      <c r="B28" s="38" t="s">
        <v>164</v>
      </c>
      <c r="C28" s="44" t="s">
        <v>165</v>
      </c>
    </row>
    <row r="29" spans="1:4" s="10" customFormat="1" ht="20.25" customHeight="1" x14ac:dyDescent="0.4">
      <c r="A29" s="42" t="s">
        <v>163</v>
      </c>
      <c r="B29" s="39" t="s">
        <v>166</v>
      </c>
      <c r="C29" s="45" t="s">
        <v>167</v>
      </c>
      <c r="D29" s="33"/>
    </row>
    <row r="30" spans="1:4" s="10" customFormat="1" ht="20.25" customHeight="1" x14ac:dyDescent="0.4">
      <c r="A30" s="42" t="s">
        <v>163</v>
      </c>
      <c r="B30" s="39" t="s">
        <v>168</v>
      </c>
      <c r="C30" s="45" t="s">
        <v>169</v>
      </c>
      <c r="D30" s="33"/>
    </row>
    <row r="31" spans="1:4" s="10" customFormat="1" ht="20.25" customHeight="1" x14ac:dyDescent="0.4">
      <c r="A31" s="42" t="s">
        <v>170</v>
      </c>
      <c r="B31" s="39" t="s">
        <v>171</v>
      </c>
      <c r="C31" s="45" t="s">
        <v>172</v>
      </c>
      <c r="D31" s="33"/>
    </row>
    <row r="32" spans="1:4" s="10" customFormat="1" ht="20.25" customHeight="1" x14ac:dyDescent="0.4">
      <c r="A32" s="42" t="s">
        <v>173</v>
      </c>
      <c r="B32" s="39" t="s">
        <v>174</v>
      </c>
      <c r="C32" s="45" t="s">
        <v>175</v>
      </c>
    </row>
    <row r="33" spans="1:3" s="10" customFormat="1" ht="20.25" customHeight="1" x14ac:dyDescent="0.4">
      <c r="A33" s="42" t="s">
        <v>176</v>
      </c>
      <c r="B33" s="39" t="s">
        <v>177</v>
      </c>
      <c r="C33" s="45" t="s">
        <v>178</v>
      </c>
    </row>
    <row r="34" spans="1:3" s="10" customFormat="1" ht="20.25" customHeight="1" x14ac:dyDescent="0.4">
      <c r="A34" s="43" t="s">
        <v>76</v>
      </c>
      <c r="B34" s="40" t="s">
        <v>179</v>
      </c>
      <c r="C34" s="46" t="s">
        <v>180</v>
      </c>
    </row>
    <row r="35" spans="1:3" s="10" customFormat="1" ht="20.25" customHeight="1" x14ac:dyDescent="0.35"/>
    <row r="36" spans="1:3" s="10" customFormat="1" ht="20.25" customHeight="1" x14ac:dyDescent="0.45">
      <c r="A36" s="34" t="s">
        <v>181</v>
      </c>
    </row>
    <row r="37" spans="1:3" s="10" customFormat="1" ht="20.25" customHeight="1" x14ac:dyDescent="0.4">
      <c r="A37" s="35" t="s">
        <v>182</v>
      </c>
      <c r="B37" s="32"/>
      <c r="C37" s="32"/>
    </row>
    <row r="38" spans="1:3" s="10" customFormat="1" ht="20.25" customHeight="1" x14ac:dyDescent="0.4">
      <c r="A38" s="35" t="s">
        <v>183</v>
      </c>
      <c r="B38" s="32"/>
      <c r="C38" s="32"/>
    </row>
    <row r="39" spans="1:3" s="10" customFormat="1" ht="20.25" customHeight="1" x14ac:dyDescent="0.4">
      <c r="A39" s="35" t="s">
        <v>184</v>
      </c>
      <c r="B39" s="32"/>
      <c r="C39" s="32"/>
    </row>
    <row r="40" spans="1:3" s="10" customFormat="1" ht="20.25" customHeight="1" x14ac:dyDescent="0.4">
      <c r="A40" s="35" t="s">
        <v>185</v>
      </c>
      <c r="B40" s="32"/>
      <c r="C40" s="32"/>
    </row>
  </sheetData>
  <mergeCells count="6">
    <mergeCell ref="A1:C1"/>
    <mergeCell ref="C20:C21"/>
    <mergeCell ref="C22:C23"/>
    <mergeCell ref="C24:C25"/>
    <mergeCell ref="A26:C26"/>
    <mergeCell ref="A18:C18"/>
  </mergeCells>
  <pageMargins left="0.7" right="0.7" top="0.75" bottom="0.75" header="0.3" footer="0.3"/>
  <pageSetup paperSize="9" orientation="portrait"/>
  <rowBreaks count="1" manualBreakCount="1">
    <brk id="33" max="16383" man="1"/>
  </rowBreaks>
  <colBreaks count="1" manualBreakCount="1">
    <brk id="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C612-E2C0-4E58-9793-C01DC173AE97}">
  <sheetPr>
    <pageSetUpPr fitToPage="1"/>
  </sheetPr>
  <dimension ref="B1:E35"/>
  <sheetViews>
    <sheetView workbookViewId="0">
      <selection activeCell="H3" sqref="H3"/>
    </sheetView>
  </sheetViews>
  <sheetFormatPr defaultRowHeight="14.4" x14ac:dyDescent="0.3"/>
  <cols>
    <col min="2" max="5" width="24.6640625" customWidth="1"/>
    <col min="6" max="34" width="21.6640625" customWidth="1"/>
  </cols>
  <sheetData>
    <row r="1" spans="2:5" ht="79.5" customHeight="1" x14ac:dyDescent="0.3">
      <c r="B1" s="144"/>
      <c r="C1" s="181" t="s">
        <v>186</v>
      </c>
      <c r="D1" s="182"/>
      <c r="E1" s="182"/>
    </row>
    <row r="2" spans="2:5" x14ac:dyDescent="0.3">
      <c r="B2" s="185" t="s">
        <v>187</v>
      </c>
      <c r="C2" s="186"/>
      <c r="D2" s="183" t="s">
        <v>188</v>
      </c>
      <c r="E2" s="184"/>
    </row>
    <row r="3" spans="2:5" x14ac:dyDescent="0.3">
      <c r="B3" s="178" t="s">
        <v>189</v>
      </c>
      <c r="C3" s="179"/>
      <c r="D3" s="179"/>
      <c r="E3" s="180"/>
    </row>
    <row r="4" spans="2:5" x14ac:dyDescent="0.3">
      <c r="B4" s="146" t="s">
        <v>190</v>
      </c>
      <c r="C4" s="147" t="s">
        <v>191</v>
      </c>
      <c r="D4" s="148" t="s">
        <v>192</v>
      </c>
      <c r="E4" s="148" t="s">
        <v>193</v>
      </c>
    </row>
    <row r="5" spans="2:5" x14ac:dyDescent="0.3">
      <c r="B5" s="1"/>
      <c r="C5" s="145">
        <v>0.25</v>
      </c>
      <c r="E5" s="145">
        <v>0.5</v>
      </c>
    </row>
    <row r="6" spans="2:5" ht="24" customHeight="1" x14ac:dyDescent="0.3">
      <c r="B6" s="149" t="s">
        <v>140</v>
      </c>
      <c r="C6" s="149" t="s">
        <v>194</v>
      </c>
      <c r="D6" s="150" t="s">
        <v>195</v>
      </c>
      <c r="E6" s="151" t="s">
        <v>196</v>
      </c>
    </row>
    <row r="7" spans="2:5" x14ac:dyDescent="0.3">
      <c r="B7" s="131" t="s">
        <v>197</v>
      </c>
      <c r="C7" s="154">
        <v>130</v>
      </c>
      <c r="D7" s="1">
        <v>1</v>
      </c>
      <c r="E7" s="140">
        <f>C7*D7</f>
        <v>130</v>
      </c>
    </row>
    <row r="8" spans="2:5" x14ac:dyDescent="0.3">
      <c r="B8" s="131" t="s">
        <v>198</v>
      </c>
      <c r="C8" s="154">
        <v>120</v>
      </c>
      <c r="D8" s="1">
        <v>1</v>
      </c>
      <c r="E8" s="140">
        <f t="shared" ref="E8:E15" si="0">C8*D8</f>
        <v>120</v>
      </c>
    </row>
    <row r="9" spans="2:5" x14ac:dyDescent="0.3">
      <c r="B9" s="131" t="s">
        <v>199</v>
      </c>
      <c r="C9" s="154">
        <v>80</v>
      </c>
      <c r="D9" s="1">
        <v>1</v>
      </c>
      <c r="E9" s="140">
        <f t="shared" si="0"/>
        <v>80</v>
      </c>
    </row>
    <row r="10" spans="2:5" x14ac:dyDescent="0.3">
      <c r="B10" s="131" t="s">
        <v>200</v>
      </c>
      <c r="C10" s="154">
        <v>150</v>
      </c>
      <c r="D10" s="1">
        <v>1</v>
      </c>
      <c r="E10" s="140">
        <f t="shared" si="0"/>
        <v>150</v>
      </c>
    </row>
    <row r="11" spans="2:5" x14ac:dyDescent="0.3">
      <c r="B11" s="131" t="s">
        <v>201</v>
      </c>
      <c r="C11" s="154">
        <v>100</v>
      </c>
      <c r="D11" s="1">
        <v>1</v>
      </c>
      <c r="E11" s="140">
        <f t="shared" si="0"/>
        <v>100</v>
      </c>
    </row>
    <row r="12" spans="2:5" x14ac:dyDescent="0.3">
      <c r="B12" s="131" t="s">
        <v>202</v>
      </c>
      <c r="C12" s="154">
        <v>130</v>
      </c>
      <c r="D12" s="1">
        <v>1</v>
      </c>
      <c r="E12" s="140">
        <f t="shared" si="0"/>
        <v>130</v>
      </c>
    </row>
    <row r="13" spans="2:5" x14ac:dyDescent="0.3">
      <c r="B13" s="131" t="s">
        <v>203</v>
      </c>
      <c r="C13" s="154">
        <v>100</v>
      </c>
      <c r="D13" s="1">
        <v>1</v>
      </c>
      <c r="E13" s="140">
        <f t="shared" si="0"/>
        <v>100</v>
      </c>
    </row>
    <row r="14" spans="2:5" x14ac:dyDescent="0.3">
      <c r="B14" s="131" t="s">
        <v>204</v>
      </c>
      <c r="C14" s="154">
        <v>100</v>
      </c>
      <c r="D14" s="1">
        <v>1</v>
      </c>
      <c r="E14" s="140">
        <f t="shared" si="0"/>
        <v>100</v>
      </c>
    </row>
    <row r="15" spans="2:5" x14ac:dyDescent="0.3">
      <c r="B15" s="131" t="s">
        <v>205</v>
      </c>
      <c r="C15" s="154">
        <v>120</v>
      </c>
      <c r="D15" s="1">
        <v>1</v>
      </c>
      <c r="E15" s="140">
        <f t="shared" si="0"/>
        <v>120</v>
      </c>
    </row>
    <row r="16" spans="2:5" x14ac:dyDescent="0.3">
      <c r="B16" s="131" t="s">
        <v>206</v>
      </c>
      <c r="C16" s="154">
        <f t="shared" ref="C16:C24" si="1">$C$5*E7</f>
        <v>32.5</v>
      </c>
      <c r="D16" s="141">
        <v>6</v>
      </c>
      <c r="E16" s="140">
        <f>C16*D16</f>
        <v>195</v>
      </c>
    </row>
    <row r="17" spans="2:5" x14ac:dyDescent="0.3">
      <c r="B17" s="131" t="s">
        <v>207</v>
      </c>
      <c r="C17" s="154">
        <f t="shared" si="1"/>
        <v>30</v>
      </c>
      <c r="D17" s="141">
        <v>6</v>
      </c>
      <c r="E17" s="140">
        <f t="shared" ref="E17:E33" si="2">C17*D17</f>
        <v>180</v>
      </c>
    </row>
    <row r="18" spans="2:5" x14ac:dyDescent="0.3">
      <c r="B18" s="131" t="s">
        <v>208</v>
      </c>
      <c r="C18" s="154">
        <f t="shared" si="1"/>
        <v>20</v>
      </c>
      <c r="D18" s="141">
        <v>6</v>
      </c>
      <c r="E18" s="140">
        <f t="shared" si="2"/>
        <v>120</v>
      </c>
    </row>
    <row r="19" spans="2:5" x14ac:dyDescent="0.3">
      <c r="B19" s="131" t="s">
        <v>209</v>
      </c>
      <c r="C19" s="154">
        <f t="shared" si="1"/>
        <v>37.5</v>
      </c>
      <c r="D19" s="141">
        <v>6</v>
      </c>
      <c r="E19" s="140">
        <f t="shared" si="2"/>
        <v>225</v>
      </c>
    </row>
    <row r="20" spans="2:5" x14ac:dyDescent="0.3">
      <c r="B20" s="131" t="s">
        <v>210</v>
      </c>
      <c r="C20" s="154">
        <f t="shared" si="1"/>
        <v>25</v>
      </c>
      <c r="D20" s="141">
        <v>6</v>
      </c>
      <c r="E20" s="140">
        <f t="shared" si="2"/>
        <v>150</v>
      </c>
    </row>
    <row r="21" spans="2:5" x14ac:dyDescent="0.3">
      <c r="B21" s="131" t="s">
        <v>211</v>
      </c>
      <c r="C21" s="154">
        <f t="shared" si="1"/>
        <v>32.5</v>
      </c>
      <c r="D21" s="141">
        <v>6</v>
      </c>
      <c r="E21" s="140">
        <f t="shared" si="2"/>
        <v>195</v>
      </c>
    </row>
    <row r="22" spans="2:5" x14ac:dyDescent="0.3">
      <c r="B22" s="131" t="s">
        <v>212</v>
      </c>
      <c r="C22" s="154">
        <f t="shared" si="1"/>
        <v>25</v>
      </c>
      <c r="D22" s="141">
        <v>6</v>
      </c>
      <c r="E22" s="140">
        <f t="shared" si="2"/>
        <v>150</v>
      </c>
    </row>
    <row r="23" spans="2:5" x14ac:dyDescent="0.3">
      <c r="B23" s="131" t="s">
        <v>213</v>
      </c>
      <c r="C23" s="154">
        <f t="shared" si="1"/>
        <v>25</v>
      </c>
      <c r="D23" s="141">
        <v>6</v>
      </c>
      <c r="E23" s="140">
        <f t="shared" si="2"/>
        <v>150</v>
      </c>
    </row>
    <row r="24" spans="2:5" x14ac:dyDescent="0.3">
      <c r="B24" s="131" t="s">
        <v>214</v>
      </c>
      <c r="C24" s="154">
        <f t="shared" si="1"/>
        <v>30</v>
      </c>
      <c r="D24" s="141">
        <v>6</v>
      </c>
      <c r="E24" s="140">
        <f t="shared" si="2"/>
        <v>180</v>
      </c>
    </row>
    <row r="25" spans="2:5" x14ac:dyDescent="0.3">
      <c r="B25" s="131" t="s">
        <v>215</v>
      </c>
      <c r="C25" s="154">
        <f>$E$5*C7</f>
        <v>65</v>
      </c>
      <c r="D25" s="141">
        <v>1</v>
      </c>
      <c r="E25" s="140">
        <f t="shared" si="2"/>
        <v>65</v>
      </c>
    </row>
    <row r="26" spans="2:5" x14ac:dyDescent="0.3">
      <c r="B26" s="131" t="s">
        <v>216</v>
      </c>
      <c r="C26" s="154">
        <f t="shared" ref="C26:C33" si="3">$E$5*C8</f>
        <v>60</v>
      </c>
      <c r="D26" s="141">
        <v>1</v>
      </c>
      <c r="E26" s="140">
        <f t="shared" si="2"/>
        <v>60</v>
      </c>
    </row>
    <row r="27" spans="2:5" x14ac:dyDescent="0.3">
      <c r="B27" s="131" t="s">
        <v>217</v>
      </c>
      <c r="C27" s="154">
        <f t="shared" si="3"/>
        <v>40</v>
      </c>
      <c r="D27" s="141">
        <v>1</v>
      </c>
      <c r="E27" s="140">
        <f t="shared" si="2"/>
        <v>40</v>
      </c>
    </row>
    <row r="28" spans="2:5" x14ac:dyDescent="0.3">
      <c r="B28" s="131" t="s">
        <v>218</v>
      </c>
      <c r="C28" s="154">
        <f t="shared" si="3"/>
        <v>75</v>
      </c>
      <c r="D28" s="141">
        <v>1</v>
      </c>
      <c r="E28" s="140">
        <f t="shared" si="2"/>
        <v>75</v>
      </c>
    </row>
    <row r="29" spans="2:5" x14ac:dyDescent="0.3">
      <c r="B29" s="131" t="s">
        <v>219</v>
      </c>
      <c r="C29" s="154">
        <f t="shared" si="3"/>
        <v>50</v>
      </c>
      <c r="D29" s="141">
        <v>1</v>
      </c>
      <c r="E29" s="140">
        <f t="shared" si="2"/>
        <v>50</v>
      </c>
    </row>
    <row r="30" spans="2:5" x14ac:dyDescent="0.3">
      <c r="B30" s="131" t="s">
        <v>220</v>
      </c>
      <c r="C30" s="154">
        <f t="shared" si="3"/>
        <v>65</v>
      </c>
      <c r="D30" s="141">
        <v>1</v>
      </c>
      <c r="E30" s="140">
        <f t="shared" si="2"/>
        <v>65</v>
      </c>
    </row>
    <row r="31" spans="2:5" x14ac:dyDescent="0.3">
      <c r="B31" s="131" t="s">
        <v>221</v>
      </c>
      <c r="C31" s="154">
        <f t="shared" si="3"/>
        <v>50</v>
      </c>
      <c r="D31" s="141">
        <v>1</v>
      </c>
      <c r="E31" s="140">
        <f t="shared" si="2"/>
        <v>50</v>
      </c>
    </row>
    <row r="32" spans="2:5" x14ac:dyDescent="0.3">
      <c r="B32" s="142" t="s">
        <v>222</v>
      </c>
      <c r="C32" s="154">
        <f t="shared" si="3"/>
        <v>50</v>
      </c>
      <c r="D32" s="141">
        <v>1</v>
      </c>
      <c r="E32" s="140">
        <f t="shared" si="2"/>
        <v>50</v>
      </c>
    </row>
    <row r="33" spans="2:5" x14ac:dyDescent="0.3">
      <c r="B33" s="131" t="s">
        <v>223</v>
      </c>
      <c r="C33" s="154">
        <f t="shared" si="3"/>
        <v>60</v>
      </c>
      <c r="D33" s="141">
        <v>1</v>
      </c>
      <c r="E33" s="140">
        <f t="shared" si="2"/>
        <v>60</v>
      </c>
    </row>
    <row r="34" spans="2:5" x14ac:dyDescent="0.3">
      <c r="B34" s="143"/>
      <c r="C34" s="155"/>
      <c r="E34" s="140"/>
    </row>
    <row r="35" spans="2:5" ht="15" customHeight="1" x14ac:dyDescent="0.3">
      <c r="B35" s="152" t="s">
        <v>224</v>
      </c>
      <c r="C35" s="122"/>
      <c r="D35" s="153"/>
      <c r="E35" s="156">
        <f>SUM(E7:E31)</f>
        <v>2980</v>
      </c>
    </row>
  </sheetData>
  <mergeCells count="4">
    <mergeCell ref="B3:E3"/>
    <mergeCell ref="C1:E1"/>
    <mergeCell ref="D2:E2"/>
    <mergeCell ref="B2:C2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1450-1F9B-45B9-A434-0354531C6160}">
  <dimension ref="A1:K25"/>
  <sheetViews>
    <sheetView workbookViewId="0">
      <selection sqref="A1:C1"/>
    </sheetView>
  </sheetViews>
  <sheetFormatPr defaultRowHeight="14.4" x14ac:dyDescent="0.3"/>
  <cols>
    <col min="1" max="3" width="21.6640625" customWidth="1"/>
    <col min="4" max="4" width="9.33203125" customWidth="1"/>
    <col min="5" max="7" width="21.6640625" customWidth="1"/>
    <col min="8" max="8" width="7.33203125" customWidth="1"/>
    <col min="9" max="45" width="21.6640625" customWidth="1"/>
  </cols>
  <sheetData>
    <row r="1" spans="1:11" ht="63" customHeight="1" x14ac:dyDescent="0.3">
      <c r="A1" s="189" t="s">
        <v>225</v>
      </c>
      <c r="B1" s="190"/>
      <c r="C1" s="191"/>
      <c r="E1" s="189" t="s">
        <v>225</v>
      </c>
      <c r="F1" s="190"/>
      <c r="G1" s="191"/>
      <c r="I1" s="189" t="s">
        <v>225</v>
      </c>
      <c r="J1" s="190"/>
      <c r="K1" s="191"/>
    </row>
    <row r="2" spans="1:11" x14ac:dyDescent="0.3">
      <c r="A2" s="187"/>
      <c r="B2" s="187"/>
      <c r="C2" s="187"/>
      <c r="E2" s="187"/>
      <c r="F2" s="187"/>
      <c r="G2" s="187"/>
      <c r="I2" s="187"/>
      <c r="J2" s="187"/>
      <c r="K2" s="187"/>
    </row>
    <row r="3" spans="1:11" x14ac:dyDescent="0.3">
      <c r="A3" s="118" t="s">
        <v>226</v>
      </c>
      <c r="B3" s="119" t="s">
        <v>227</v>
      </c>
      <c r="C3" s="120">
        <v>8.5</v>
      </c>
      <c r="E3" s="118"/>
      <c r="F3" s="119"/>
      <c r="G3" s="120"/>
      <c r="I3" s="118"/>
      <c r="J3" s="119"/>
      <c r="K3" s="120"/>
    </row>
    <row r="4" spans="1:11" x14ac:dyDescent="0.3">
      <c r="A4" s="121" t="s">
        <v>228</v>
      </c>
      <c r="B4" s="192" t="s">
        <v>229</v>
      </c>
      <c r="C4" s="193"/>
      <c r="E4" s="121" t="s">
        <v>228</v>
      </c>
      <c r="F4" s="192" t="s">
        <v>230</v>
      </c>
      <c r="G4" s="193"/>
      <c r="I4" s="121" t="s">
        <v>228</v>
      </c>
      <c r="J4" s="192" t="s">
        <v>231</v>
      </c>
      <c r="K4" s="193"/>
    </row>
    <row r="5" spans="1:11" x14ac:dyDescent="0.3">
      <c r="A5" s="122" t="s">
        <v>232</v>
      </c>
      <c r="B5" s="194"/>
      <c r="C5" s="195"/>
      <c r="D5" s="123"/>
      <c r="E5" s="122" t="s">
        <v>232</v>
      </c>
      <c r="F5" s="194"/>
      <c r="G5" s="195"/>
      <c r="I5" s="122" t="s">
        <v>232</v>
      </c>
      <c r="J5" s="194"/>
      <c r="K5" s="195"/>
    </row>
    <row r="6" spans="1:11" x14ac:dyDescent="0.3">
      <c r="A6" s="187"/>
      <c r="B6" s="187"/>
      <c r="C6" s="187"/>
      <c r="E6" s="187"/>
      <c r="F6" s="187"/>
      <c r="G6" s="187"/>
      <c r="I6" s="187"/>
      <c r="J6" s="187"/>
      <c r="K6" s="187"/>
    </row>
    <row r="7" spans="1:11" ht="15.6" x14ac:dyDescent="0.3">
      <c r="A7" s="124" t="s">
        <v>233</v>
      </c>
      <c r="B7" s="126" t="s">
        <v>234</v>
      </c>
      <c r="C7" s="125" t="s">
        <v>235</v>
      </c>
      <c r="E7" s="124" t="s">
        <v>233</v>
      </c>
      <c r="F7" s="126" t="s">
        <v>234</v>
      </c>
      <c r="G7" s="125" t="s">
        <v>235</v>
      </c>
      <c r="I7" s="124" t="s">
        <v>233</v>
      </c>
      <c r="J7" s="126" t="s">
        <v>234</v>
      </c>
      <c r="K7" s="125" t="s">
        <v>235</v>
      </c>
    </row>
    <row r="8" spans="1:11" x14ac:dyDescent="0.3">
      <c r="A8" s="118" t="s">
        <v>236</v>
      </c>
      <c r="B8" s="127">
        <v>1.81</v>
      </c>
      <c r="C8" s="129">
        <f>C3*B8</f>
        <v>15.385</v>
      </c>
      <c r="E8" s="127" t="s">
        <v>237</v>
      </c>
      <c r="F8" s="130">
        <v>1</v>
      </c>
      <c r="G8" s="129">
        <v>100</v>
      </c>
      <c r="I8" s="127" t="s">
        <v>237</v>
      </c>
      <c r="J8" s="130">
        <v>1</v>
      </c>
      <c r="K8" s="129">
        <v>100</v>
      </c>
    </row>
    <row r="9" spans="1:11" x14ac:dyDescent="0.3">
      <c r="A9" s="139" t="s">
        <v>238</v>
      </c>
      <c r="B9" s="131">
        <v>1.3</v>
      </c>
      <c r="C9" s="129">
        <f>C3*B9</f>
        <v>11.05</v>
      </c>
      <c r="E9" s="131" t="s">
        <v>239</v>
      </c>
      <c r="F9" s="132">
        <v>1</v>
      </c>
      <c r="G9" s="129">
        <v>8.5</v>
      </c>
      <c r="I9" s="131" t="s">
        <v>240</v>
      </c>
      <c r="J9" s="132">
        <v>1</v>
      </c>
      <c r="K9" s="129">
        <v>8.5</v>
      </c>
    </row>
    <row r="10" spans="1:11" x14ac:dyDescent="0.3">
      <c r="A10" s="139"/>
      <c r="B10" s="131"/>
      <c r="C10" s="129"/>
      <c r="E10" s="131" t="s">
        <v>241</v>
      </c>
      <c r="F10" s="128">
        <v>1</v>
      </c>
      <c r="G10" s="129">
        <v>10.1</v>
      </c>
      <c r="I10" s="131" t="s">
        <v>241</v>
      </c>
      <c r="J10" s="128">
        <v>1</v>
      </c>
      <c r="K10" s="129">
        <v>10.1</v>
      </c>
    </row>
    <row r="11" spans="1:11" x14ac:dyDescent="0.3">
      <c r="A11" s="139"/>
      <c r="B11" s="131"/>
      <c r="C11" s="129"/>
      <c r="E11" s="131" t="s">
        <v>241</v>
      </c>
      <c r="F11" s="128">
        <v>1</v>
      </c>
      <c r="G11" s="129">
        <v>8.9</v>
      </c>
      <c r="I11" s="131" t="s">
        <v>241</v>
      </c>
      <c r="J11" s="128">
        <v>1</v>
      </c>
      <c r="K11" s="129">
        <v>8.9</v>
      </c>
    </row>
    <row r="12" spans="1:11" x14ac:dyDescent="0.3">
      <c r="A12" s="139"/>
      <c r="B12" s="131"/>
      <c r="C12" s="129"/>
      <c r="E12" s="133" t="s">
        <v>242</v>
      </c>
      <c r="F12" s="128">
        <v>1</v>
      </c>
      <c r="G12" s="129">
        <v>15</v>
      </c>
      <c r="I12" s="133" t="s">
        <v>242</v>
      </c>
      <c r="J12" s="128">
        <v>1</v>
      </c>
      <c r="K12" s="129">
        <v>15</v>
      </c>
    </row>
    <row r="13" spans="1:11" x14ac:dyDescent="0.3">
      <c r="A13" s="139"/>
      <c r="B13" s="131"/>
      <c r="C13" s="129"/>
      <c r="E13" s="131" t="s">
        <v>239</v>
      </c>
      <c r="F13" s="128">
        <v>1</v>
      </c>
      <c r="G13" s="129">
        <v>8.5</v>
      </c>
      <c r="I13" s="131" t="s">
        <v>239</v>
      </c>
      <c r="J13" s="128">
        <v>1</v>
      </c>
      <c r="K13" s="129">
        <v>8.5</v>
      </c>
    </row>
    <row r="14" spans="1:11" x14ac:dyDescent="0.3">
      <c r="A14" s="139"/>
      <c r="B14" s="131"/>
      <c r="C14" s="129"/>
      <c r="E14" s="131" t="s">
        <v>243</v>
      </c>
      <c r="F14" s="128">
        <v>1</v>
      </c>
      <c r="G14" s="129">
        <v>60</v>
      </c>
      <c r="I14" s="131" t="s">
        <v>243</v>
      </c>
      <c r="J14" s="128">
        <v>1</v>
      </c>
      <c r="K14" s="129">
        <v>60</v>
      </c>
    </row>
    <row r="15" spans="1:11" x14ac:dyDescent="0.3">
      <c r="A15" s="139"/>
      <c r="B15" s="131"/>
      <c r="C15" s="129"/>
      <c r="E15" s="131"/>
      <c r="F15" s="128"/>
      <c r="G15" s="129"/>
      <c r="I15" s="131"/>
      <c r="J15" s="128"/>
      <c r="K15" s="129"/>
    </row>
    <row r="16" spans="1:11" x14ac:dyDescent="0.3">
      <c r="A16" s="139"/>
      <c r="B16" s="131"/>
      <c r="C16" s="129"/>
      <c r="E16" s="131"/>
      <c r="F16" s="128"/>
      <c r="G16" s="129"/>
      <c r="I16" s="131"/>
      <c r="J16" s="128"/>
      <c r="K16" s="129"/>
    </row>
    <row r="17" spans="1:11" x14ac:dyDescent="0.3">
      <c r="A17" s="139"/>
      <c r="B17" s="131"/>
      <c r="C17" s="129"/>
      <c r="E17" s="131"/>
      <c r="F17" s="128"/>
      <c r="G17" s="129"/>
      <c r="I17" s="131"/>
      <c r="J17" s="128"/>
      <c r="K17" s="129"/>
    </row>
    <row r="18" spans="1:11" x14ac:dyDescent="0.3">
      <c r="A18" s="139"/>
      <c r="B18" s="131"/>
      <c r="C18" s="129"/>
      <c r="E18" s="131"/>
      <c r="F18" s="128"/>
      <c r="G18" s="129"/>
      <c r="I18" s="131"/>
      <c r="J18" s="128"/>
      <c r="K18" s="129"/>
    </row>
    <row r="19" spans="1:11" x14ac:dyDescent="0.3">
      <c r="A19" s="139"/>
      <c r="B19" s="131"/>
      <c r="C19" s="129"/>
      <c r="E19" s="131"/>
      <c r="F19" s="128"/>
      <c r="G19" s="129"/>
      <c r="I19" s="131"/>
      <c r="J19" s="128"/>
      <c r="K19" s="129"/>
    </row>
    <row r="20" spans="1:11" x14ac:dyDescent="0.3">
      <c r="A20" s="139"/>
      <c r="B20" s="131"/>
      <c r="C20" s="129"/>
      <c r="E20" s="131"/>
      <c r="F20" s="128"/>
      <c r="G20" s="129"/>
      <c r="I20" s="131"/>
      <c r="J20" s="128"/>
      <c r="K20" s="129"/>
    </row>
    <row r="21" spans="1:11" x14ac:dyDescent="0.3">
      <c r="A21" s="139"/>
      <c r="B21" s="131"/>
      <c r="C21" s="129"/>
      <c r="E21" s="131"/>
      <c r="F21" s="128"/>
      <c r="G21" s="129"/>
      <c r="I21" s="131"/>
      <c r="J21" s="128"/>
      <c r="K21" s="129"/>
    </row>
    <row r="22" spans="1:11" x14ac:dyDescent="0.3">
      <c r="A22" s="139"/>
      <c r="B22" s="131"/>
      <c r="C22" s="129"/>
      <c r="E22" s="131"/>
      <c r="F22" s="128"/>
      <c r="G22" s="129"/>
      <c r="I22" s="131"/>
      <c r="J22" s="128"/>
      <c r="K22" s="129"/>
    </row>
    <row r="23" spans="1:11" x14ac:dyDescent="0.3">
      <c r="A23" s="122"/>
      <c r="B23" s="134"/>
      <c r="C23" s="129"/>
      <c r="E23" s="134"/>
      <c r="F23" s="135"/>
      <c r="G23" s="129"/>
      <c r="I23" s="134"/>
      <c r="J23" s="135"/>
      <c r="K23" s="129"/>
    </row>
    <row r="24" spans="1:11" x14ac:dyDescent="0.3">
      <c r="A24" s="187"/>
      <c r="B24" s="187"/>
      <c r="C24" s="188"/>
      <c r="E24" s="187"/>
      <c r="F24" s="187"/>
      <c r="G24" s="188"/>
      <c r="I24" s="187"/>
      <c r="J24" s="187"/>
      <c r="K24" s="188"/>
    </row>
    <row r="25" spans="1:11" ht="15.6" x14ac:dyDescent="0.3">
      <c r="A25" s="136" t="s">
        <v>224</v>
      </c>
      <c r="B25" s="137">
        <f>SUM(B8:B12)</f>
        <v>3.1100000000000003</v>
      </c>
      <c r="C25" s="138">
        <f>SUM(C8:C23)</f>
        <v>26.435000000000002</v>
      </c>
      <c r="E25" s="136" t="s">
        <v>224</v>
      </c>
      <c r="F25" s="137">
        <f>SUM(F8:F12)</f>
        <v>5</v>
      </c>
      <c r="G25" s="138">
        <f>SUM(G8:G23)</f>
        <v>211</v>
      </c>
      <c r="I25" s="136" t="s">
        <v>224</v>
      </c>
      <c r="J25" s="137">
        <f>SUM(J8:J12)</f>
        <v>5</v>
      </c>
      <c r="K25" s="138">
        <f>SUM(K8:K23)</f>
        <v>211</v>
      </c>
    </row>
  </sheetData>
  <mergeCells count="18">
    <mergeCell ref="B5:C5"/>
    <mergeCell ref="F5:G5"/>
    <mergeCell ref="A6:C6"/>
    <mergeCell ref="E6:G6"/>
    <mergeCell ref="A24:C24"/>
    <mergeCell ref="E24:G24"/>
    <mergeCell ref="A1:C1"/>
    <mergeCell ref="E1:G1"/>
    <mergeCell ref="A2:C2"/>
    <mergeCell ref="E2:G2"/>
    <mergeCell ref="B4:C4"/>
    <mergeCell ref="F4:G4"/>
    <mergeCell ref="I24:K24"/>
    <mergeCell ref="I1:K1"/>
    <mergeCell ref="I2:K2"/>
    <mergeCell ref="J4:K4"/>
    <mergeCell ref="J5:K5"/>
    <mergeCell ref="I6:K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1E88EB-48D7-4E64-90D1-9ED362143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Preços Débora</vt:lpstr>
      <vt:lpstr>Preços Vanessa</vt:lpstr>
      <vt:lpstr>Preços Maísa - RS</vt:lpstr>
      <vt:lpstr>ORÇAMENTO</vt:lpstr>
      <vt:lpstr>Prestação de Serviços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Scutari</dc:creator>
  <cp:keywords/>
  <dc:description/>
  <cp:lastModifiedBy>Thiago Scutari</cp:lastModifiedBy>
  <cp:revision/>
  <dcterms:created xsi:type="dcterms:W3CDTF">2026-01-13T00:20:28Z</dcterms:created>
  <dcterms:modified xsi:type="dcterms:W3CDTF">2026-03-25T01:02:39Z</dcterms:modified>
  <cp:category/>
  <cp:contentStatus/>
</cp:coreProperties>
</file>